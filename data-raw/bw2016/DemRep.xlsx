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913"/>
  <workbookPr autoCompressPictures="0"/>
  <bookViews>
    <workbookView xWindow="12800" yWindow="0" windowWidth="12800" windowHeight="14100" activeTab="1"/>
  </bookViews>
  <sheets>
    <sheet name="Monthly" sheetId="2" r:id="rId1"/>
    <sheet name="Quarterly" sheetId="3" r:id="rId2"/>
    <sheet name="Annual" sheetId="4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5" i="4" l="1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</calcChain>
</file>

<file path=xl/sharedStrings.xml><?xml version="1.0" encoding="utf-8"?>
<sst xmlns="http://schemas.openxmlformats.org/spreadsheetml/2006/main" count="167" uniqueCount="127">
  <si>
    <t>GDPC96</t>
  </si>
  <si>
    <t>Real Gross Domestic Product, 3 Decimal</t>
  </si>
  <si>
    <t>DATE</t>
  </si>
  <si>
    <t xml:space="preserve"> </t>
  </si>
  <si>
    <t>Date</t>
  </si>
  <si>
    <t>Source</t>
  </si>
  <si>
    <t>Desc</t>
  </si>
  <si>
    <t>FRED</t>
  </si>
  <si>
    <t>RecQtr</t>
  </si>
  <si>
    <t>Indicator variable that is 1 if any month in quarter is in recession</t>
  </si>
  <si>
    <t>NBER</t>
  </si>
  <si>
    <t>INDPRO</t>
  </si>
  <si>
    <t>A939RC0Q052SBEA</t>
  </si>
  <si>
    <t>GDPDEF</t>
  </si>
  <si>
    <t>OUTNFB</t>
  </si>
  <si>
    <t>Ind. Production</t>
  </si>
  <si>
    <t>Gross Domestic Product: Implicit Price Deflator</t>
  </si>
  <si>
    <t>Nominal Gross domestic product per capita (Fred: A939RC0Q052SBEA)</t>
  </si>
  <si>
    <t>Nonfarm Business Sector: Output</t>
  </si>
  <si>
    <t>HOANBS</t>
  </si>
  <si>
    <t>CE16OV</t>
  </si>
  <si>
    <t>PAYEMS</t>
  </si>
  <si>
    <t>UNRATE</t>
  </si>
  <si>
    <t>Nonfarm Business Sector: Hours of All Persons</t>
  </si>
  <si>
    <t>Employment HHSurvey</t>
  </si>
  <si>
    <t>All Employees: Total nonfarm</t>
  </si>
  <si>
    <t>Unrate</t>
  </si>
  <si>
    <t>GDI</t>
  </si>
  <si>
    <t>Corporate profits with inventory valuation and capital consumption adjustments, domestic industries, After Tax, from NIPA Table 1.10</t>
  </si>
  <si>
    <t xml:space="preserve">Nominal Gross Domesting Income (Billions) </t>
  </si>
  <si>
    <t>CPAXTAX</t>
  </si>
  <si>
    <t>BEA</t>
  </si>
  <si>
    <t>WRDS</t>
  </si>
  <si>
    <t>RET_VW</t>
  </si>
  <si>
    <t>RET_SP500</t>
  </si>
  <si>
    <t>Nominal Returns (inclduing distributions) Value Weighted SP500 CRSP</t>
  </si>
  <si>
    <t>Returns on the SP500 Index</t>
  </si>
  <si>
    <t>PCECTPI</t>
  </si>
  <si>
    <t>Personal Consumption Expenditures: Chain-type Price Index</t>
  </si>
  <si>
    <t>OPHNFB</t>
  </si>
  <si>
    <t>Nonfarm Business Sector: Output Per Hour of All Persons</t>
  </si>
  <si>
    <t>COMPRNFB</t>
  </si>
  <si>
    <t>Nonfarm Business Sector: Real Compensation Per Hour</t>
  </si>
  <si>
    <t>dtfp</t>
  </si>
  <si>
    <t>dtfp_util</t>
  </si>
  <si>
    <t>Fernald d_tfp</t>
  </si>
  <si>
    <t>Fernald d_tfp (adj for utilization)</t>
  </si>
  <si>
    <t>Fernald</t>
  </si>
  <si>
    <t>fe_surp</t>
  </si>
  <si>
    <t>CBO</t>
  </si>
  <si>
    <t>Net Federal Government Saving Without Automatic Stabilizers as Percent of potential output (CBO XLS File (43977_Web … ) Col. Q)</t>
  </si>
  <si>
    <t>D_House</t>
  </si>
  <si>
    <t>D_Senate</t>
  </si>
  <si>
    <t>D_Fed</t>
  </si>
  <si>
    <t>Dems control House</t>
  </si>
  <si>
    <t>Dems Control Senate</t>
  </si>
  <si>
    <t>Fed Chair Nominated by Dem Pres</t>
  </si>
  <si>
    <t>AC</t>
  </si>
  <si>
    <t>AAA</t>
  </si>
  <si>
    <t>BAA</t>
  </si>
  <si>
    <t>FEDFUNDS</t>
  </si>
  <si>
    <t>MED3</t>
  </si>
  <si>
    <t>TB3MS</t>
  </si>
  <si>
    <t>3-Month Eurodollar Deposit Rate (London)</t>
  </si>
  <si>
    <t>3 Month Tbill Rate</t>
  </si>
  <si>
    <t>oody;s Aaa Corporate Bond Yield</t>
  </si>
  <si>
    <t>Moody Baa Corporate Bond Yield</t>
  </si>
  <si>
    <t>Effective Federal Funds Rate</t>
  </si>
  <si>
    <t>WPU0561</t>
  </si>
  <si>
    <t>Fuels and related products and power: Crude Petroleum</t>
  </si>
  <si>
    <t>BLS</t>
  </si>
  <si>
    <t>Killian_OPEC</t>
  </si>
  <si>
    <t>OPEC Oil Production Shortfall (From Killian Webpage) RESTAT (2008)</t>
  </si>
  <si>
    <t>Killian Webpage</t>
  </si>
  <si>
    <t>DRIWCIL</t>
  </si>
  <si>
    <t>FRB Senior Loans Officer Opions. Net Percentage of Domestic Respondents Reporting Increased Willingness to Make Consumer Installment Loans</t>
  </si>
  <si>
    <t>FRED and DB</t>
  </si>
  <si>
    <t>SZ_MS</t>
  </si>
  <si>
    <t>Sims_Zha MP Shock</t>
  </si>
  <si>
    <t>Zha</t>
  </si>
  <si>
    <t>R_News</t>
  </si>
  <si>
    <t>ORZ Spreadsheet</t>
  </si>
  <si>
    <t>Ramey News Divided by lagged Nominal GDP</t>
  </si>
  <si>
    <t>FP_EXRET</t>
  </si>
  <si>
    <t>Fisher-Peters Excess Returns</t>
  </si>
  <si>
    <t>Ramey Spreadsheet</t>
  </si>
  <si>
    <t>RR_EXTAX</t>
  </si>
  <si>
    <t>Romer and Romer Exog. Tax (Relative to Nom GDP)</t>
  </si>
  <si>
    <t>RR Fiscal Spreadsheet (Col N)</t>
  </si>
  <si>
    <t>U0M023</t>
  </si>
  <si>
    <t>Spot prices raw materials NSA (1967=100) COPYRIGHTED (CRB)</t>
  </si>
  <si>
    <t>TCB Indicators Databas</t>
  </si>
  <si>
    <t>ICS</t>
  </si>
  <si>
    <t>ICE</t>
  </si>
  <si>
    <t>UMCSent Components: Current Index</t>
  </si>
  <si>
    <t>UMCSent Components: Expected Index</t>
  </si>
  <si>
    <t>Table 1 of Mich Survey</t>
  </si>
  <si>
    <t>Table 5 of Mich Survey</t>
  </si>
  <si>
    <t>BBD</t>
  </si>
  <si>
    <t>BBD Index</t>
  </si>
  <si>
    <t>BBD Spreadsheet</t>
  </si>
  <si>
    <t>RR_AER04</t>
  </si>
  <si>
    <t>R&amp;R AER 2004 Shocks</t>
  </si>
  <si>
    <t>GZ_EBP</t>
  </si>
  <si>
    <t>GZ Excess Bond Premium</t>
  </si>
  <si>
    <t>Fernald Spreadsheet</t>
  </si>
  <si>
    <t>UK_g_gdp</t>
  </si>
  <si>
    <t>GDP Growth UK</t>
  </si>
  <si>
    <t>AB's worksheet</t>
  </si>
  <si>
    <t>UK_Left</t>
  </si>
  <si>
    <t>1 if Labor</t>
  </si>
  <si>
    <t>FR_g_gdp</t>
  </si>
  <si>
    <t>Fr_left</t>
  </si>
  <si>
    <t>GDP Growth France</t>
  </si>
  <si>
    <t>1 if left party</t>
  </si>
  <si>
    <t>CN_g_gdp</t>
  </si>
  <si>
    <t>GDP Growth Canada</t>
  </si>
  <si>
    <t>cn_left</t>
  </si>
  <si>
    <t>DE_g_gdp</t>
  </si>
  <si>
    <t>GDP Growth Germany</t>
  </si>
  <si>
    <t>de_left</t>
  </si>
  <si>
    <t>ICC</t>
  </si>
  <si>
    <t>oecd_gdp</t>
  </si>
  <si>
    <t>Growth Rate of Real GDP OECD</t>
  </si>
  <si>
    <t>oecd_gdp_e</t>
  </si>
  <si>
    <t>Growth Rate of Real GDP Europe</t>
  </si>
  <si>
    <t>OECD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</si>
</sst>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yyyy\-mm\-dd"/>
    <numFmt numFmtId="165" formatCode="0.000"/>
    <numFmt numFmtId="166" formatCode="0.0"/>
    <numFmt numFmtId="167" formatCode="0.0000"/>
    <numFmt numFmtId="168" formatCode="0.000000"/>
  </numFmts>
  <fonts count="8" x14ac:knownFonts="1">
    <font>
      <sz val="10"/>
      <name val="Arial"/>
    </font>
    <font>
      <b/>
      <sz val="11"/>
      <color theme="1"/>
      <name val="Calibri"/>
      <family val="2"/>
      <scheme val="minor"/>
    </font>
    <font>
      <sz val="10"/>
      <color indexed="8"/>
      <name val="Arial Narrow"/>
      <family val="2"/>
    </font>
    <font>
      <sz val="10"/>
      <name val="Arial"/>
      <family val="2"/>
    </font>
    <font>
      <sz val="10"/>
      <color theme="1"/>
      <name val="Arial Unicode MS"/>
      <family val="2"/>
    </font>
    <font>
      <sz val="11"/>
      <color rgb="FF006100"/>
      <name val="Calibri"/>
      <family val="2"/>
      <scheme val="minor"/>
    </font>
    <font>
      <sz val="10"/>
      <name val="Arial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5" fillId="2" borderId="0" applyNumberFormat="0" applyBorder="0" applyAlignment="0" applyProtection="0"/>
    <xf numFmtId="0" fontId="6" fillId="0" borderId="0"/>
  </cellStyleXfs>
  <cellXfs count="43">
    <xf numFmtId="0" fontId="0" fillId="0" borderId="0" xfId="0"/>
    <xf numFmtId="1" fontId="0" fillId="0" borderId="0" xfId="0" applyNumberFormat="1" applyFont="1" applyFill="1" applyBorder="1" applyAlignment="1" applyProtection="1"/>
    <xf numFmtId="166" fontId="0" fillId="0" borderId="0" xfId="0" applyNumberFormat="1" applyFont="1" applyFill="1" applyBorder="1" applyAlignment="1" applyProtection="1"/>
    <xf numFmtId="167" fontId="0" fillId="0" borderId="0" xfId="0" applyNumberFormat="1" applyFont="1" applyFill="1" applyBorder="1" applyAlignment="1" applyProtection="1"/>
    <xf numFmtId="0" fontId="0" fillId="0" borderId="0" xfId="0" applyAlignment="1">
      <alignment wrapText="1"/>
    </xf>
    <xf numFmtId="2" fontId="0" fillId="0" borderId="0" xfId="0" applyNumberFormat="1"/>
    <xf numFmtId="1" fontId="0" fillId="0" borderId="0" xfId="0" applyNumberFormat="1"/>
    <xf numFmtId="0" fontId="0" fillId="0" borderId="0" xfId="0" applyNumberFormat="1" applyFont="1" applyFill="1" applyBorder="1" applyAlignment="1" applyProtection="1">
      <alignment horizontal="left" wrapText="1"/>
    </xf>
    <xf numFmtId="0" fontId="0" fillId="0" borderId="0" xfId="0"/>
    <xf numFmtId="0" fontId="0" fillId="0" borderId="0" xfId="0"/>
    <xf numFmtId="2" fontId="0" fillId="0" borderId="0" xfId="0" applyNumberFormat="1" applyFont="1" applyFill="1" applyBorder="1" applyAlignment="1" applyProtection="1"/>
    <xf numFmtId="0" fontId="1" fillId="0" borderId="0" xfId="0" applyFont="1" applyAlignment="1">
      <alignment wrapText="1"/>
    </xf>
    <xf numFmtId="165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0" fontId="0" fillId="0" borderId="0" xfId="0" applyAlignment="1">
      <alignment horizontal="center" wrapText="1"/>
    </xf>
    <xf numFmtId="166" fontId="2" fillId="0" borderId="0" xfId="0" applyNumberFormat="1" applyFont="1" applyAlignment="1">
      <alignment horizontal="center"/>
    </xf>
    <xf numFmtId="2" fontId="0" fillId="0" borderId="0" xfId="0" applyNumberFormat="1" applyProtection="1">
      <protection locked="0"/>
    </xf>
    <xf numFmtId="1" fontId="3" fillId="0" borderId="0" xfId="0" applyNumberFormat="1" applyFont="1"/>
    <xf numFmtId="166" fontId="0" fillId="0" borderId="0" xfId="0" applyNumberFormat="1"/>
    <xf numFmtId="11" fontId="0" fillId="0" borderId="0" xfId="0" applyNumberFormat="1"/>
    <xf numFmtId="167" fontId="0" fillId="0" borderId="0" xfId="0" applyNumberFormat="1"/>
    <xf numFmtId="0" fontId="4" fillId="0" borderId="0" xfId="0" applyFont="1"/>
    <xf numFmtId="168" fontId="0" fillId="0" borderId="0" xfId="0" applyNumberFormat="1"/>
    <xf numFmtId="0" fontId="5" fillId="2" borderId="0" xfId="1"/>
    <xf numFmtId="1" fontId="0" fillId="0" borderId="0" xfId="0" applyNumberFormat="1" applyFont="1" applyFill="1" applyBorder="1" applyAlignment="1" applyProtection="1"/>
    <xf numFmtId="2" fontId="0" fillId="0" borderId="0" xfId="0" applyNumberFormat="1" applyFont="1" applyFill="1" applyBorder="1" applyAlignment="1" applyProtection="1"/>
    <xf numFmtId="166" fontId="0" fillId="0" borderId="0" xfId="0" applyNumberFormat="1" applyAlignment="1">
      <alignment horizontal="right"/>
    </xf>
    <xf numFmtId="0" fontId="3" fillId="0" borderId="0" xfId="0" applyFont="1"/>
    <xf numFmtId="164" fontId="3" fillId="0" borderId="0" xfId="0" applyNumberFormat="1" applyFont="1" applyFill="1" applyBorder="1" applyAlignment="1" applyProtection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/>
    <xf numFmtId="0" fontId="0" fillId="0" borderId="0" xfId="0"/>
    <xf numFmtId="166" fontId="0" fillId="0" borderId="0" xfId="0" applyNumberFormat="1" applyFont="1" applyFill="1" applyBorder="1" applyAlignment="1" applyProtection="1"/>
    <xf numFmtId="165" fontId="0" fillId="0" borderId="0" xfId="0" applyNumberFormat="1" applyFont="1" applyFill="1" applyBorder="1" applyAlignment="1" applyProtection="1"/>
    <xf numFmtId="0" fontId="0" fillId="0" borderId="0" xfId="0" applyFont="1" applyAlignment="1">
      <alignment wrapText="1"/>
    </xf>
    <xf numFmtId="2" fontId="3" fillId="0" borderId="0" xfId="0" applyNumberFormat="1" applyFont="1"/>
    <xf numFmtId="0" fontId="0" fillId="0" borderId="0" xfId="0"/>
    <xf numFmtId="166" fontId="0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wrapText="1"/>
    </xf>
    <xf numFmtId="0" fontId="6" fillId="0" borderId="0" xfId="2"/>
    <xf numFmtId="0" fontId="7" fillId="0" borderId="1" xfId="0" applyNumberFormat="1" applyFont="1" applyBorder="1" applyAlignment="1">
      <alignment horizontal="right"/>
    </xf>
  </cellXfs>
  <cellStyles count="3">
    <cellStyle name="Good" xfId="1" builtinId="26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571"/>
  <sheetViews>
    <sheetView workbookViewId="0">
      <pane xSplit="1" ySplit="3" topLeftCell="K789" activePane="bottomRight" state="frozen"/>
      <selection pane="topRight" activeCell="B1" sqref="B1"/>
      <selection pane="bottomLeft" activeCell="A3" sqref="A3"/>
      <selection pane="bottomRight" activeCell="R795" sqref="R795"/>
    </sheetView>
  </sheetViews>
  <sheetFormatPr baseColWidth="10" defaultColWidth="8.83203125" defaultRowHeight="12" x14ac:dyDescent="0"/>
  <cols>
    <col min="1" max="1" width="12.6640625" customWidth="1"/>
    <col min="2" max="2" width="9.6640625" customWidth="1"/>
    <col min="3" max="3" width="9.6640625" style="9" customWidth="1"/>
    <col min="4" max="5" width="10.6640625" customWidth="1"/>
    <col min="6" max="6" width="11.6640625" customWidth="1"/>
    <col min="7" max="7" width="7.6640625" customWidth="1"/>
    <col min="8" max="9" width="7.6640625" style="9" customWidth="1"/>
    <col min="33" max="36" width="8.83203125" style="9"/>
    <col min="38" max="38" width="10.83203125" customWidth="1"/>
    <col min="39" max="39" width="11.5" customWidth="1"/>
  </cols>
  <sheetData>
    <row r="1" spans="1:45" ht="25">
      <c r="A1" t="s">
        <v>2</v>
      </c>
      <c r="B1" s="9" t="s">
        <v>11</v>
      </c>
      <c r="C1" s="9" t="s">
        <v>20</v>
      </c>
      <c r="D1" s="9" t="s">
        <v>21</v>
      </c>
      <c r="E1" s="9" t="s">
        <v>22</v>
      </c>
      <c r="F1" t="s">
        <v>33</v>
      </c>
      <c r="G1" t="s">
        <v>34</v>
      </c>
      <c r="H1" s="33" t="s">
        <v>58</v>
      </c>
      <c r="I1" s="33" t="s">
        <v>59</v>
      </c>
      <c r="J1" s="33" t="s">
        <v>60</v>
      </c>
      <c r="K1" s="33" t="s">
        <v>61</v>
      </c>
      <c r="L1" s="33" t="s">
        <v>62</v>
      </c>
      <c r="M1" t="s">
        <v>68</v>
      </c>
      <c r="N1" s="38" t="s">
        <v>77</v>
      </c>
      <c r="O1" t="s">
        <v>89</v>
      </c>
      <c r="P1" t="s">
        <v>98</v>
      </c>
      <c r="Q1" s="4" t="s">
        <v>101</v>
      </c>
      <c r="R1" s="38" t="s">
        <v>103</v>
      </c>
      <c r="V1" s="4"/>
      <c r="W1" s="4"/>
      <c r="X1" s="4"/>
      <c r="Y1" s="4"/>
      <c r="Z1" s="4"/>
      <c r="AA1" s="4"/>
      <c r="AB1" s="4"/>
      <c r="AC1" s="8"/>
      <c r="AD1" s="8"/>
      <c r="AE1" s="8"/>
      <c r="AF1" s="8"/>
      <c r="AL1" s="4"/>
      <c r="AM1" s="4"/>
      <c r="AN1" s="23"/>
    </row>
    <row r="2" spans="1:45" s="9" customFormat="1" ht="109">
      <c r="B2" s="4" t="s">
        <v>15</v>
      </c>
      <c r="C2" s="4" t="s">
        <v>24</v>
      </c>
      <c r="D2" s="7" t="s">
        <v>25</v>
      </c>
      <c r="E2" s="4" t="s">
        <v>26</v>
      </c>
      <c r="F2" s="4" t="s">
        <v>35</v>
      </c>
      <c r="G2" s="4" t="s">
        <v>36</v>
      </c>
      <c r="H2" s="4" t="s">
        <v>65</v>
      </c>
      <c r="I2" s="4" t="s">
        <v>66</v>
      </c>
      <c r="J2" s="36" t="s">
        <v>67</v>
      </c>
      <c r="K2" s="4" t="s">
        <v>63</v>
      </c>
      <c r="L2" s="4" t="s">
        <v>64</v>
      </c>
      <c r="M2" s="4" t="s">
        <v>69</v>
      </c>
      <c r="N2" s="4" t="s">
        <v>78</v>
      </c>
      <c r="O2" s="4" t="s">
        <v>90</v>
      </c>
      <c r="P2" s="4" t="s">
        <v>99</v>
      </c>
      <c r="Q2" s="4" t="s">
        <v>102</v>
      </c>
      <c r="R2" s="4" t="s">
        <v>104</v>
      </c>
      <c r="V2" s="4"/>
      <c r="W2" s="4"/>
      <c r="X2" s="4"/>
      <c r="Y2" s="4"/>
      <c r="Z2" s="4"/>
      <c r="AA2" s="4"/>
      <c r="AB2" s="4"/>
      <c r="AL2" s="4"/>
      <c r="AM2" s="4"/>
      <c r="AN2" s="23"/>
    </row>
    <row r="3" spans="1:45" ht="36">
      <c r="B3" s="7" t="s">
        <v>7</v>
      </c>
      <c r="C3" s="7" t="s">
        <v>7</v>
      </c>
      <c r="D3" s="4" t="s">
        <v>7</v>
      </c>
      <c r="E3" s="4" t="s">
        <v>7</v>
      </c>
      <c r="F3" s="4" t="s">
        <v>32</v>
      </c>
      <c r="G3" s="4" t="s">
        <v>32</v>
      </c>
      <c r="H3" s="4" t="s">
        <v>7</v>
      </c>
      <c r="I3" s="4" t="s">
        <v>7</v>
      </c>
      <c r="J3" s="4" t="s">
        <v>7</v>
      </c>
      <c r="K3" s="7" t="s">
        <v>7</v>
      </c>
      <c r="L3" s="7" t="s">
        <v>7</v>
      </c>
      <c r="M3" s="7" t="s">
        <v>70</v>
      </c>
      <c r="N3" s="4" t="s">
        <v>79</v>
      </c>
      <c r="O3" s="40" t="s">
        <v>91</v>
      </c>
      <c r="P3" s="7" t="s">
        <v>100</v>
      </c>
      <c r="Q3" s="7"/>
      <c r="R3" s="7"/>
      <c r="T3" s="7"/>
      <c r="U3" s="7"/>
      <c r="V3" s="7"/>
      <c r="W3" s="7"/>
      <c r="X3" s="7"/>
      <c r="Y3" s="7"/>
      <c r="Z3" s="7"/>
      <c r="AA3" s="7"/>
      <c r="AB3" s="7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45">
      <c r="A4" s="13">
        <v>17168</v>
      </c>
      <c r="B4" s="3">
        <v>13.6332</v>
      </c>
      <c r="D4" s="24">
        <v>43545</v>
      </c>
      <c r="E4" s="9"/>
      <c r="F4" s="33">
        <v>2.2015E-2</v>
      </c>
      <c r="G4" s="33">
        <v>2.3529000000000001E-2</v>
      </c>
      <c r="H4" s="25">
        <v>2.57</v>
      </c>
      <c r="I4" s="25">
        <v>3.13</v>
      </c>
      <c r="J4" s="33"/>
      <c r="K4" s="33"/>
      <c r="L4" s="25">
        <v>0.38</v>
      </c>
      <c r="M4" s="33">
        <v>7.3</v>
      </c>
      <c r="N4" s="9"/>
      <c r="O4" s="31">
        <v>112.4</v>
      </c>
      <c r="P4" s="38">
        <v>133.03970000000001</v>
      </c>
      <c r="Q4" s="24"/>
      <c r="R4" s="38"/>
      <c r="T4" s="2"/>
      <c r="U4" s="2"/>
      <c r="V4" s="24"/>
      <c r="W4" s="24"/>
      <c r="X4" s="24"/>
      <c r="Y4" s="24"/>
      <c r="Z4" s="24"/>
      <c r="AA4" s="24"/>
      <c r="AB4" s="24"/>
      <c r="AC4" s="9"/>
      <c r="AD4" s="9"/>
      <c r="AE4" s="9"/>
      <c r="AF4" s="25"/>
      <c r="AG4" s="27"/>
      <c r="AH4" s="10"/>
      <c r="AI4" s="25"/>
      <c r="AJ4" s="25"/>
      <c r="AL4" s="9"/>
      <c r="AP4" s="9"/>
      <c r="AQ4" s="9"/>
    </row>
    <row r="5" spans="1:45">
      <c r="A5" s="13">
        <v>17199</v>
      </c>
      <c r="B5" s="3">
        <v>13.713699999999999</v>
      </c>
      <c r="D5" s="24">
        <v>43563</v>
      </c>
      <c r="E5" s="9"/>
      <c r="F5" s="33">
        <v>-8.3070000000000001E-3</v>
      </c>
      <c r="G5" s="33">
        <v>-1.4687E-2</v>
      </c>
      <c r="H5" s="25">
        <v>2.5499999999999998</v>
      </c>
      <c r="I5" s="25">
        <v>3.12</v>
      </c>
      <c r="J5" s="33"/>
      <c r="K5" s="33"/>
      <c r="L5" s="25">
        <v>0.38</v>
      </c>
      <c r="M5" s="33">
        <v>7.3</v>
      </c>
      <c r="N5" s="9"/>
      <c r="O5" s="31">
        <v>116.7</v>
      </c>
      <c r="P5" s="38">
        <v>97.567689999999999</v>
      </c>
      <c r="Q5" s="24"/>
      <c r="R5" s="38"/>
      <c r="T5" s="2"/>
      <c r="U5" s="2"/>
      <c r="V5" s="24"/>
      <c r="W5" s="24"/>
      <c r="X5" s="24"/>
      <c r="Y5" s="24"/>
      <c r="Z5" s="24"/>
      <c r="AA5" s="24"/>
      <c r="AB5" s="24"/>
      <c r="AC5" s="9"/>
      <c r="AD5" s="9"/>
      <c r="AE5" s="9"/>
      <c r="AF5" s="25"/>
      <c r="AH5" s="10"/>
      <c r="AI5" s="25"/>
      <c r="AJ5" s="25"/>
      <c r="AL5" s="9"/>
      <c r="AP5" s="9"/>
      <c r="AQ5" s="9"/>
    </row>
    <row r="6" spans="1:45">
      <c r="A6" s="13">
        <v>17227</v>
      </c>
      <c r="B6" s="3">
        <v>13.7942</v>
      </c>
      <c r="D6" s="24">
        <v>43605</v>
      </c>
      <c r="E6" s="9"/>
      <c r="F6" s="33">
        <v>-1.5009E-2</v>
      </c>
      <c r="G6" s="33">
        <v>-1.685E-2</v>
      </c>
      <c r="H6" s="25">
        <v>2.5499999999999998</v>
      </c>
      <c r="I6" s="25">
        <v>3.15</v>
      </c>
      <c r="J6" s="33"/>
      <c r="K6" s="33"/>
      <c r="L6" s="25">
        <v>0.38</v>
      </c>
      <c r="M6" s="33">
        <v>8</v>
      </c>
      <c r="N6" s="9"/>
      <c r="O6" s="31">
        <v>122.5</v>
      </c>
      <c r="P6" s="38">
        <v>130.25810000000001</v>
      </c>
      <c r="Q6" s="24"/>
      <c r="R6" s="38"/>
      <c r="T6" s="2"/>
      <c r="U6" s="2"/>
      <c r="V6" s="24"/>
      <c r="W6" s="24"/>
      <c r="X6" s="24"/>
      <c r="Y6" s="24"/>
      <c r="Z6" s="24"/>
      <c r="AA6" s="24"/>
      <c r="AB6" s="24"/>
      <c r="AC6" s="9"/>
      <c r="AD6" s="9"/>
      <c r="AE6" s="9"/>
      <c r="AF6" s="25"/>
      <c r="AH6" s="10"/>
      <c r="AI6" s="25"/>
      <c r="AJ6" s="25"/>
      <c r="AL6" s="9"/>
      <c r="AP6" s="9"/>
      <c r="AQ6" s="9"/>
    </row>
    <row r="7" spans="1:45">
      <c r="A7" s="13">
        <v>17258</v>
      </c>
      <c r="B7" s="3">
        <v>13.6868</v>
      </c>
      <c r="D7" s="24">
        <v>43491</v>
      </c>
      <c r="E7" s="9"/>
      <c r="F7" s="33">
        <v>-3.9563000000000001E-2</v>
      </c>
      <c r="G7" s="33">
        <v>-3.8892999999999997E-2</v>
      </c>
      <c r="H7" s="25">
        <v>2.5299999999999998</v>
      </c>
      <c r="I7" s="25">
        <v>3.16</v>
      </c>
      <c r="J7" s="33"/>
      <c r="K7" s="33"/>
      <c r="L7" s="25">
        <v>0.38</v>
      </c>
      <c r="M7" s="33">
        <v>8.4</v>
      </c>
      <c r="N7" s="9"/>
      <c r="O7" s="31">
        <v>119.6</v>
      </c>
      <c r="P7" s="38">
        <v>142.74189999999999</v>
      </c>
      <c r="Q7" s="24"/>
      <c r="R7" s="38"/>
      <c r="T7" s="2"/>
      <c r="U7" s="2"/>
      <c r="V7" s="24"/>
      <c r="W7" s="24"/>
      <c r="X7" s="24"/>
      <c r="Y7" s="24"/>
      <c r="Z7" s="24"/>
      <c r="AA7" s="24"/>
      <c r="AB7" s="24"/>
      <c r="AC7" s="9"/>
      <c r="AD7" s="9"/>
      <c r="AE7" s="9"/>
      <c r="AF7" s="25"/>
      <c r="AH7" s="10"/>
      <c r="AI7" s="25"/>
      <c r="AJ7" s="25"/>
      <c r="AL7" s="9"/>
      <c r="AP7" s="9"/>
      <c r="AQ7" s="9"/>
    </row>
    <row r="8" spans="1:45">
      <c r="A8" s="13">
        <v>17288</v>
      </c>
      <c r="B8" s="3">
        <v>13.740500000000001</v>
      </c>
      <c r="D8" s="24">
        <v>43637</v>
      </c>
      <c r="E8" s="9"/>
      <c r="F8" s="33">
        <v>-9.9200000000000004E-4</v>
      </c>
      <c r="G8" s="33">
        <v>-8.9160000000000003E-3</v>
      </c>
      <c r="H8" s="25">
        <v>2.5299999999999998</v>
      </c>
      <c r="I8" s="25">
        <v>3.17</v>
      </c>
      <c r="J8" s="33"/>
      <c r="K8" s="33"/>
      <c r="L8" s="25">
        <v>0.38</v>
      </c>
      <c r="M8" s="33">
        <v>8.4</v>
      </c>
      <c r="N8" s="9"/>
      <c r="O8" s="31">
        <v>110.7</v>
      </c>
      <c r="P8" s="38">
        <v>158.17080000000001</v>
      </c>
      <c r="Q8" s="24"/>
      <c r="R8" s="38"/>
      <c r="T8" s="2"/>
      <c r="U8" s="2"/>
      <c r="V8" s="24"/>
      <c r="W8" s="24"/>
      <c r="X8" s="24"/>
      <c r="Y8" s="24"/>
      <c r="Z8" s="24"/>
      <c r="AA8" s="24"/>
      <c r="AB8" s="24"/>
      <c r="AC8" s="9"/>
      <c r="AD8" s="9"/>
      <c r="AE8" s="9"/>
      <c r="AF8" s="25"/>
      <c r="AH8" s="10"/>
      <c r="AI8" s="25"/>
      <c r="AJ8" s="25"/>
      <c r="AL8" s="9"/>
      <c r="AP8" s="9"/>
      <c r="AQ8" s="9"/>
    </row>
    <row r="9" spans="1:45">
      <c r="A9" s="13">
        <v>17319</v>
      </c>
      <c r="B9" s="3">
        <v>13.740500000000001</v>
      </c>
      <c r="D9" s="24">
        <v>43808</v>
      </c>
      <c r="E9" s="9"/>
      <c r="F9" s="33">
        <v>5.3992999999999999E-2</v>
      </c>
      <c r="G9" s="33">
        <v>5.2595000000000003E-2</v>
      </c>
      <c r="H9" s="25">
        <v>2.5499999999999998</v>
      </c>
      <c r="I9" s="25">
        <v>3.21</v>
      </c>
      <c r="J9" s="33"/>
      <c r="K9" s="33"/>
      <c r="L9" s="25">
        <v>0.38</v>
      </c>
      <c r="M9" s="33">
        <v>8.4</v>
      </c>
      <c r="N9" s="9"/>
      <c r="O9" s="31">
        <v>108.6</v>
      </c>
      <c r="P9" s="38">
        <v>106.3355</v>
      </c>
      <c r="Q9" s="24"/>
      <c r="R9" s="38"/>
      <c r="T9" s="2"/>
      <c r="U9" s="2"/>
      <c r="V9" s="24"/>
      <c r="W9" s="24"/>
      <c r="X9" s="24"/>
      <c r="Y9" s="24"/>
      <c r="Z9" s="24"/>
      <c r="AA9" s="24"/>
      <c r="AB9" s="24"/>
      <c r="AC9" s="9"/>
      <c r="AD9" s="9"/>
      <c r="AE9" s="9"/>
      <c r="AF9" s="25"/>
      <c r="AH9" s="10"/>
      <c r="AI9" s="25"/>
      <c r="AJ9" s="25"/>
      <c r="AL9" s="9"/>
      <c r="AP9" s="9"/>
      <c r="AQ9" s="9"/>
    </row>
    <row r="10" spans="1:45">
      <c r="A10" s="13">
        <v>17349</v>
      </c>
      <c r="B10" s="3">
        <v>13.66</v>
      </c>
      <c r="D10" s="24">
        <v>43742</v>
      </c>
      <c r="E10" s="9"/>
      <c r="F10" s="33">
        <v>3.9572999999999997E-2</v>
      </c>
      <c r="G10" s="33">
        <v>3.6159999999999998E-2</v>
      </c>
      <c r="H10" s="25">
        <v>2.5499999999999998</v>
      </c>
      <c r="I10" s="25">
        <v>3.18</v>
      </c>
      <c r="J10" s="33"/>
      <c r="K10" s="33"/>
      <c r="L10" s="25">
        <v>0.66</v>
      </c>
      <c r="M10" s="33">
        <v>8.5</v>
      </c>
      <c r="N10" s="9"/>
      <c r="O10" s="31">
        <v>109.7</v>
      </c>
      <c r="P10" s="38">
        <v>107.40179999999999</v>
      </c>
      <c r="Q10" s="24"/>
      <c r="R10" s="38"/>
      <c r="T10" s="2"/>
      <c r="U10" s="2"/>
      <c r="V10" s="24"/>
      <c r="W10" s="24"/>
      <c r="X10" s="24"/>
      <c r="Y10" s="24"/>
      <c r="Z10" s="24"/>
      <c r="AA10" s="24"/>
      <c r="AB10" s="24"/>
      <c r="AC10" s="9"/>
      <c r="AD10" s="9"/>
      <c r="AE10" s="9"/>
      <c r="AF10" s="25"/>
      <c r="AH10" s="10"/>
      <c r="AI10" s="25"/>
      <c r="AJ10" s="25"/>
      <c r="AL10" s="9"/>
      <c r="AP10" s="9"/>
      <c r="AQ10" s="9"/>
    </row>
    <row r="11" spans="1:45">
      <c r="A11" s="13">
        <v>17380</v>
      </c>
      <c r="B11" s="3">
        <v>13.740500000000001</v>
      </c>
      <c r="D11" s="24">
        <v>43958</v>
      </c>
      <c r="E11" s="9"/>
      <c r="F11" s="33">
        <v>-2.3077E-2</v>
      </c>
      <c r="G11" s="33">
        <v>-2.7918999999999999E-2</v>
      </c>
      <c r="H11" s="25">
        <v>2.56</v>
      </c>
      <c r="I11" s="25">
        <v>3.17</v>
      </c>
      <c r="J11" s="33"/>
      <c r="K11" s="33"/>
      <c r="L11" s="25">
        <v>0.75</v>
      </c>
      <c r="M11" s="33">
        <v>8.5</v>
      </c>
      <c r="N11" s="9"/>
      <c r="O11" s="31">
        <v>111.2</v>
      </c>
      <c r="P11" s="38">
        <v>115.5243</v>
      </c>
      <c r="Q11" s="24"/>
      <c r="R11" s="38"/>
      <c r="T11" s="2"/>
      <c r="U11" s="2"/>
      <c r="V11" s="24"/>
      <c r="W11" s="24"/>
      <c r="X11" s="24"/>
      <c r="Y11" s="24"/>
      <c r="Z11" s="24"/>
      <c r="AA11" s="24"/>
      <c r="AB11" s="24"/>
      <c r="AC11" s="9"/>
      <c r="AD11" s="9"/>
      <c r="AE11" s="9"/>
      <c r="AF11" s="25"/>
      <c r="AH11" s="10"/>
      <c r="AI11" s="25"/>
      <c r="AJ11" s="25"/>
      <c r="AL11" s="9"/>
      <c r="AP11" s="9"/>
      <c r="AQ11" s="9"/>
    </row>
    <row r="12" spans="1:45">
      <c r="A12" s="13">
        <v>17411</v>
      </c>
      <c r="B12" s="3">
        <v>13.847899999999999</v>
      </c>
      <c r="D12" s="24">
        <v>44201</v>
      </c>
      <c r="E12" s="9"/>
      <c r="F12" s="33">
        <v>-9.9290000000000003E-3</v>
      </c>
      <c r="G12" s="33">
        <v>-1.3708E-2</v>
      </c>
      <c r="H12" s="25">
        <v>2.61</v>
      </c>
      <c r="I12" s="25">
        <v>3.23</v>
      </c>
      <c r="J12" s="33"/>
      <c r="K12" s="33"/>
      <c r="L12" s="25">
        <v>0.8</v>
      </c>
      <c r="M12" s="33">
        <v>8.6</v>
      </c>
      <c r="N12" s="9"/>
      <c r="O12" s="31">
        <v>115.8</v>
      </c>
      <c r="P12" s="38">
        <v>110.4759</v>
      </c>
      <c r="Q12" s="24"/>
      <c r="R12" s="38"/>
      <c r="T12" s="2"/>
      <c r="U12" s="2"/>
      <c r="V12" s="24"/>
      <c r="W12" s="24"/>
      <c r="X12" s="24"/>
      <c r="Y12" s="24"/>
      <c r="Z12" s="24"/>
      <c r="AA12" s="24"/>
      <c r="AB12" s="24"/>
      <c r="AC12" s="9"/>
      <c r="AD12" s="9"/>
      <c r="AE12" s="9"/>
      <c r="AF12" s="25"/>
      <c r="AH12" s="10"/>
      <c r="AI12" s="25"/>
      <c r="AJ12" s="25"/>
      <c r="AL12" s="9"/>
      <c r="AP12" s="9"/>
      <c r="AQ12" s="9"/>
    </row>
    <row r="13" spans="1:45">
      <c r="A13" s="13">
        <v>17441</v>
      </c>
      <c r="B13" s="3">
        <v>13.981999999999999</v>
      </c>
      <c r="D13" s="24">
        <v>44415</v>
      </c>
      <c r="E13" s="9"/>
      <c r="F13" s="33">
        <v>2.0577000000000002E-2</v>
      </c>
      <c r="G13" s="33">
        <v>2.1177999999999999E-2</v>
      </c>
      <c r="H13" s="25">
        <v>2.7</v>
      </c>
      <c r="I13" s="25">
        <v>3.35</v>
      </c>
      <c r="J13" s="33"/>
      <c r="K13" s="33"/>
      <c r="L13" s="25">
        <v>0.85</v>
      </c>
      <c r="M13" s="33">
        <v>9</v>
      </c>
      <c r="N13" s="9"/>
      <c r="O13" s="31">
        <v>122.8</v>
      </c>
      <c r="P13" s="38">
        <v>70.692989999999995</v>
      </c>
      <c r="Q13" s="24"/>
      <c r="R13" s="38"/>
      <c r="T13" s="2"/>
      <c r="U13" s="2"/>
      <c r="V13" s="24"/>
      <c r="W13" s="24"/>
      <c r="X13" s="24"/>
      <c r="Y13" s="24"/>
      <c r="Z13" s="24"/>
      <c r="AA13" s="24"/>
      <c r="AB13" s="24"/>
      <c r="AC13" s="9"/>
      <c r="AD13" s="9"/>
      <c r="AE13" s="9"/>
      <c r="AF13" s="25"/>
      <c r="AH13" s="10"/>
      <c r="AI13" s="25"/>
      <c r="AJ13" s="25"/>
      <c r="AL13" s="9"/>
      <c r="AP13" s="9"/>
      <c r="AQ13" s="9"/>
    </row>
    <row r="14" spans="1:45">
      <c r="A14" s="13">
        <v>17472</v>
      </c>
      <c r="B14" s="3">
        <v>14.1699</v>
      </c>
      <c r="D14" s="24">
        <v>44486</v>
      </c>
      <c r="E14" s="9"/>
      <c r="F14" s="33">
        <v>-1.7637E-2</v>
      </c>
      <c r="G14" s="33">
        <v>-2.8516E-2</v>
      </c>
      <c r="H14" s="25">
        <v>2.77</v>
      </c>
      <c r="I14" s="25">
        <v>3.44</v>
      </c>
      <c r="J14" s="33"/>
      <c r="K14" s="33"/>
      <c r="L14" s="25">
        <v>0.92</v>
      </c>
      <c r="M14" s="33">
        <v>9.3000000000000007</v>
      </c>
      <c r="N14" s="9"/>
      <c r="O14" s="31">
        <v>128</v>
      </c>
      <c r="P14" s="38">
        <v>120.4297</v>
      </c>
      <c r="Q14" s="24"/>
      <c r="R14" s="38"/>
      <c r="T14" s="2"/>
      <c r="U14" s="2"/>
      <c r="V14" s="24"/>
      <c r="W14" s="24"/>
      <c r="X14" s="24"/>
      <c r="Y14" s="24"/>
      <c r="Z14" s="24"/>
      <c r="AA14" s="24"/>
      <c r="AB14" s="24"/>
      <c r="AC14" s="9"/>
      <c r="AD14" s="9"/>
      <c r="AE14" s="9"/>
      <c r="AF14" s="25"/>
      <c r="AH14" s="10"/>
      <c r="AI14" s="25"/>
      <c r="AJ14" s="25"/>
      <c r="AL14" s="9"/>
      <c r="AP14" s="9"/>
      <c r="AQ14" s="9"/>
    </row>
    <row r="15" spans="1:45">
      <c r="A15" s="13">
        <v>17502</v>
      </c>
      <c r="B15" s="3">
        <v>14.223599999999999</v>
      </c>
      <c r="D15" s="24">
        <v>44578</v>
      </c>
      <c r="E15" s="9"/>
      <c r="F15" s="33">
        <v>3.0786000000000001E-2</v>
      </c>
      <c r="G15" s="33">
        <v>2.068E-2</v>
      </c>
      <c r="H15" s="25">
        <v>2.86</v>
      </c>
      <c r="I15" s="25">
        <v>3.52</v>
      </c>
      <c r="J15" s="33"/>
      <c r="K15" s="33"/>
      <c r="L15" s="25">
        <v>0.95</v>
      </c>
      <c r="M15" s="33">
        <v>10.9</v>
      </c>
      <c r="N15" s="9"/>
      <c r="O15" s="31">
        <v>128.6</v>
      </c>
      <c r="P15" s="38">
        <v>69.987229999999997</v>
      </c>
      <c r="Q15" s="24"/>
      <c r="R15" s="38"/>
      <c r="T15" s="2"/>
      <c r="U15" s="2"/>
      <c r="V15" s="24"/>
      <c r="W15" s="24"/>
      <c r="X15" s="24"/>
      <c r="Y15" s="24"/>
      <c r="Z15" s="24"/>
      <c r="AA15" s="24"/>
      <c r="AB15" s="24"/>
      <c r="AC15" s="9"/>
      <c r="AD15" s="9"/>
      <c r="AE15" s="9"/>
      <c r="AF15" s="25"/>
      <c r="AH15" s="10"/>
      <c r="AI15" s="25"/>
      <c r="AJ15" s="25"/>
      <c r="AL15" s="9"/>
      <c r="AP15" s="9"/>
      <c r="AQ15" s="9"/>
    </row>
    <row r="16" spans="1:45">
      <c r="A16" s="13">
        <v>17533</v>
      </c>
      <c r="B16" s="3">
        <v>14.3041</v>
      </c>
      <c r="C16" s="24">
        <v>58061</v>
      </c>
      <c r="D16" s="24">
        <v>44686</v>
      </c>
      <c r="E16" s="2">
        <v>3.4</v>
      </c>
      <c r="F16" s="33">
        <v>-3.7741999999999998E-2</v>
      </c>
      <c r="G16" s="33">
        <v>-3.9869000000000002E-2</v>
      </c>
      <c r="H16" s="25">
        <v>2.86</v>
      </c>
      <c r="I16" s="25">
        <v>3.52</v>
      </c>
      <c r="J16" s="33"/>
      <c r="K16" s="33"/>
      <c r="L16" s="25">
        <v>0.97</v>
      </c>
      <c r="M16" s="33">
        <v>11.5</v>
      </c>
      <c r="N16" s="9"/>
      <c r="O16" s="31">
        <v>129.1</v>
      </c>
      <c r="P16" s="38">
        <v>127.73090000000001</v>
      </c>
      <c r="Q16" s="24"/>
      <c r="R16" s="38"/>
      <c r="T16" s="2"/>
      <c r="U16" s="2"/>
      <c r="V16" s="24"/>
      <c r="W16" s="24"/>
      <c r="X16" s="24"/>
      <c r="Y16" s="24"/>
      <c r="Z16" s="24"/>
      <c r="AA16" s="24"/>
      <c r="AB16" s="24"/>
      <c r="AC16" s="9"/>
      <c r="AD16" s="9"/>
      <c r="AE16" s="9"/>
      <c r="AF16" s="25"/>
      <c r="AH16" s="10"/>
      <c r="AI16" s="25"/>
      <c r="AJ16" s="25"/>
      <c r="AL16" s="9"/>
      <c r="AP16" s="9"/>
      <c r="AQ16" s="9"/>
    </row>
    <row r="17" spans="1:43">
      <c r="A17" s="13">
        <v>17564</v>
      </c>
      <c r="B17" s="3">
        <v>14.3309</v>
      </c>
      <c r="C17" s="24">
        <v>58196</v>
      </c>
      <c r="D17" s="24">
        <v>44537</v>
      </c>
      <c r="E17" s="2">
        <v>3.8</v>
      </c>
      <c r="F17" s="33">
        <v>-4.0231000000000003E-2</v>
      </c>
      <c r="G17" s="33">
        <v>-4.6970999999999999E-2</v>
      </c>
      <c r="H17" s="25">
        <v>2.85</v>
      </c>
      <c r="I17" s="25">
        <v>3.53</v>
      </c>
      <c r="J17" s="33"/>
      <c r="K17" s="33"/>
      <c r="L17" s="25">
        <v>1</v>
      </c>
      <c r="M17" s="33">
        <v>11.5</v>
      </c>
      <c r="N17" s="9"/>
      <c r="O17" s="31">
        <v>124.2</v>
      </c>
      <c r="P17" s="38">
        <v>74.393839999999997</v>
      </c>
      <c r="Q17" s="24"/>
      <c r="R17" s="38"/>
      <c r="T17" s="2"/>
      <c r="U17" s="2"/>
      <c r="V17" s="24"/>
      <c r="W17" s="24"/>
      <c r="X17" s="24"/>
      <c r="Y17" s="24"/>
      <c r="Z17" s="24"/>
      <c r="AA17" s="24"/>
      <c r="AB17" s="24"/>
      <c r="AC17" s="9"/>
      <c r="AD17" s="9"/>
      <c r="AE17" s="9"/>
      <c r="AF17" s="25"/>
      <c r="AH17" s="10"/>
      <c r="AI17" s="25"/>
      <c r="AJ17" s="25"/>
      <c r="AL17" s="9"/>
      <c r="AP17" s="9"/>
      <c r="AQ17" s="9"/>
    </row>
    <row r="18" spans="1:43">
      <c r="A18" s="13">
        <v>17593</v>
      </c>
      <c r="B18" s="3">
        <v>14.1699</v>
      </c>
      <c r="C18" s="24">
        <v>57671</v>
      </c>
      <c r="D18" s="24">
        <v>44680</v>
      </c>
      <c r="E18" s="2">
        <v>4</v>
      </c>
      <c r="F18" s="33">
        <v>8.1441E-2</v>
      </c>
      <c r="G18" s="33">
        <v>7.7143000000000003E-2</v>
      </c>
      <c r="H18" s="25">
        <v>2.83</v>
      </c>
      <c r="I18" s="25">
        <v>3.53</v>
      </c>
      <c r="J18" s="33"/>
      <c r="K18" s="33"/>
      <c r="L18" s="25">
        <v>1</v>
      </c>
      <c r="M18" s="33">
        <v>11.5</v>
      </c>
      <c r="N18" s="9"/>
      <c r="O18" s="31">
        <v>119.2</v>
      </c>
      <c r="P18" s="38">
        <v>60.959020000000002</v>
      </c>
      <c r="Q18" s="24"/>
      <c r="R18" s="38"/>
      <c r="T18" s="2"/>
      <c r="U18" s="2"/>
      <c r="V18" s="24"/>
      <c r="W18" s="24"/>
      <c r="X18" s="24"/>
      <c r="Y18" s="24"/>
      <c r="Z18" s="24"/>
      <c r="AA18" s="24"/>
      <c r="AB18" s="24"/>
      <c r="AC18" s="9"/>
      <c r="AD18" s="9"/>
      <c r="AE18" s="9"/>
      <c r="AF18" s="25"/>
      <c r="AH18" s="10"/>
      <c r="AI18" s="25"/>
      <c r="AJ18" s="25"/>
      <c r="AL18" s="9"/>
      <c r="AP18" s="9"/>
      <c r="AQ18" s="9"/>
    </row>
    <row r="19" spans="1:43">
      <c r="A19" s="13">
        <v>17624</v>
      </c>
      <c r="B19" s="3">
        <v>14.1967</v>
      </c>
      <c r="C19" s="24">
        <v>58291</v>
      </c>
      <c r="D19" s="24">
        <v>44369</v>
      </c>
      <c r="E19" s="2">
        <v>3.9</v>
      </c>
      <c r="F19" s="33">
        <v>3.0818000000000002E-2</v>
      </c>
      <c r="G19" s="33">
        <v>2.6525E-2</v>
      </c>
      <c r="H19" s="25">
        <v>2.78</v>
      </c>
      <c r="I19" s="25">
        <v>3.47</v>
      </c>
      <c r="J19" s="33"/>
      <c r="K19" s="33"/>
      <c r="L19" s="25">
        <v>1</v>
      </c>
      <c r="M19" s="33">
        <v>11.5</v>
      </c>
      <c r="N19" s="9"/>
      <c r="O19" s="31">
        <v>120.7</v>
      </c>
      <c r="P19" s="38">
        <v>80.836500000000001</v>
      </c>
      <c r="Q19" s="24"/>
      <c r="R19" s="38"/>
      <c r="T19" s="2"/>
      <c r="U19" s="2"/>
      <c r="V19" s="24"/>
      <c r="W19" s="24"/>
      <c r="X19" s="24"/>
      <c r="Y19" s="24"/>
      <c r="Z19" s="24"/>
      <c r="AA19" s="24"/>
      <c r="AB19" s="24"/>
      <c r="AC19" s="9"/>
      <c r="AD19" s="9"/>
      <c r="AE19" s="9"/>
      <c r="AF19" s="25"/>
      <c r="AH19" s="10"/>
      <c r="AI19" s="25"/>
      <c r="AJ19" s="25"/>
      <c r="AL19" s="9"/>
      <c r="AP19" s="9"/>
      <c r="AQ19" s="9"/>
    </row>
    <row r="20" spans="1:43">
      <c r="A20" s="13">
        <v>17654</v>
      </c>
      <c r="B20" s="3">
        <v>14.4383</v>
      </c>
      <c r="C20" s="24">
        <v>57854</v>
      </c>
      <c r="D20" s="24">
        <v>44795</v>
      </c>
      <c r="E20" s="2">
        <v>3.5</v>
      </c>
      <c r="F20" s="33">
        <v>8.4018999999999996E-2</v>
      </c>
      <c r="G20" s="33">
        <v>7.8164999999999998E-2</v>
      </c>
      <c r="H20" s="25">
        <v>2.76</v>
      </c>
      <c r="I20" s="25">
        <v>3.38</v>
      </c>
      <c r="J20" s="33"/>
      <c r="K20" s="33"/>
      <c r="L20" s="25">
        <v>1</v>
      </c>
      <c r="M20" s="33">
        <v>11.5</v>
      </c>
      <c r="N20" s="9"/>
      <c r="O20" s="31">
        <v>119.9</v>
      </c>
      <c r="P20" s="38">
        <v>68.376720000000006</v>
      </c>
      <c r="Q20" s="24"/>
      <c r="R20" s="38"/>
      <c r="T20" s="2"/>
      <c r="U20" s="2"/>
      <c r="V20" s="24"/>
      <c r="W20" s="24"/>
      <c r="X20" s="24"/>
      <c r="Y20" s="24"/>
      <c r="Z20" s="24"/>
      <c r="AA20" s="24"/>
      <c r="AB20" s="24"/>
      <c r="AC20" s="9"/>
      <c r="AD20" s="9"/>
      <c r="AE20" s="9"/>
      <c r="AF20" s="25"/>
      <c r="AH20" s="10"/>
      <c r="AI20" s="25"/>
      <c r="AJ20" s="25"/>
      <c r="AL20" s="9"/>
      <c r="AP20" s="9"/>
      <c r="AQ20" s="9"/>
    </row>
    <row r="21" spans="1:43">
      <c r="A21" s="13">
        <v>17685</v>
      </c>
      <c r="B21" s="3">
        <v>14.626099999999999</v>
      </c>
      <c r="C21" s="24">
        <v>58743</v>
      </c>
      <c r="D21" s="24">
        <v>45032</v>
      </c>
      <c r="E21" s="2">
        <v>3.6</v>
      </c>
      <c r="F21" s="33">
        <v>7.6649999999999999E-3</v>
      </c>
      <c r="G21" s="33">
        <v>2.996E-3</v>
      </c>
      <c r="H21" s="25">
        <v>2.76</v>
      </c>
      <c r="I21" s="25">
        <v>3.34</v>
      </c>
      <c r="J21" s="33"/>
      <c r="K21" s="33"/>
      <c r="L21" s="25">
        <v>1</v>
      </c>
      <c r="M21" s="33">
        <v>11.5</v>
      </c>
      <c r="N21" s="9"/>
      <c r="O21" s="31">
        <v>121.3</v>
      </c>
      <c r="P21" s="38">
        <v>92.821299999999994</v>
      </c>
      <c r="Q21" s="24"/>
      <c r="R21" s="38"/>
      <c r="T21" s="2"/>
      <c r="U21" s="2"/>
      <c r="V21" s="24"/>
      <c r="W21" s="24"/>
      <c r="X21" s="24"/>
      <c r="Y21" s="24"/>
      <c r="Z21" s="24"/>
      <c r="AA21" s="24"/>
      <c r="AB21" s="24"/>
      <c r="AC21" s="9"/>
      <c r="AD21" s="9"/>
      <c r="AE21" s="9"/>
      <c r="AF21" s="25"/>
      <c r="AH21" s="10"/>
      <c r="AI21" s="25"/>
      <c r="AJ21" s="25"/>
      <c r="AL21" s="9"/>
      <c r="AP21" s="9"/>
      <c r="AQ21" s="9"/>
    </row>
    <row r="22" spans="1:43">
      <c r="A22" s="13">
        <v>17715</v>
      </c>
      <c r="B22" s="3">
        <v>14.626099999999999</v>
      </c>
      <c r="C22" s="24">
        <v>58968</v>
      </c>
      <c r="D22" s="24">
        <v>45160</v>
      </c>
      <c r="E22" s="2">
        <v>3.6</v>
      </c>
      <c r="F22" s="33">
        <v>-5.2248000000000003E-2</v>
      </c>
      <c r="G22" s="33">
        <v>-5.3165999999999998E-2</v>
      </c>
      <c r="H22" s="25">
        <v>2.81</v>
      </c>
      <c r="I22" s="25">
        <v>3.37</v>
      </c>
      <c r="J22" s="33"/>
      <c r="K22" s="33"/>
      <c r="L22" s="25">
        <v>1</v>
      </c>
      <c r="M22" s="33">
        <v>11.5</v>
      </c>
      <c r="N22" s="9"/>
      <c r="O22" s="31">
        <v>121.1</v>
      </c>
      <c r="P22" s="38">
        <v>67.828890000000001</v>
      </c>
      <c r="Q22" s="24"/>
      <c r="R22" s="38"/>
      <c r="T22" s="2"/>
      <c r="U22" s="2"/>
      <c r="V22" s="24"/>
      <c r="W22" s="24"/>
      <c r="X22" s="24"/>
      <c r="Y22" s="24"/>
      <c r="Z22" s="24"/>
      <c r="AA22" s="24"/>
      <c r="AB22" s="24"/>
      <c r="AC22" s="9"/>
      <c r="AD22" s="9"/>
      <c r="AE22" s="9"/>
      <c r="AF22" s="25"/>
      <c r="AH22" s="10"/>
      <c r="AI22" s="25"/>
      <c r="AJ22" s="25"/>
      <c r="AL22" s="9"/>
      <c r="AP22" s="9"/>
      <c r="AQ22" s="9"/>
    </row>
    <row r="23" spans="1:43">
      <c r="A23" s="13">
        <v>17746</v>
      </c>
      <c r="B23" s="3">
        <v>14.5724</v>
      </c>
      <c r="C23" s="24">
        <v>58456</v>
      </c>
      <c r="D23" s="24">
        <v>45175</v>
      </c>
      <c r="E23" s="2">
        <v>3.9</v>
      </c>
      <c r="F23" s="33">
        <v>1.5514E-2</v>
      </c>
      <c r="G23" s="33">
        <v>7.5709999999999996E-3</v>
      </c>
      <c r="H23" s="25">
        <v>2.84</v>
      </c>
      <c r="I23" s="25">
        <v>3.44</v>
      </c>
      <c r="J23" s="33"/>
      <c r="K23" s="33"/>
      <c r="L23" s="25">
        <v>1.06</v>
      </c>
      <c r="M23" s="33">
        <v>11.5</v>
      </c>
      <c r="N23" s="9"/>
      <c r="O23" s="31">
        <v>121.9</v>
      </c>
      <c r="P23" s="38">
        <v>73.149820000000005</v>
      </c>
      <c r="Q23" s="24"/>
      <c r="R23" s="38"/>
      <c r="T23" s="2"/>
      <c r="U23" s="2"/>
      <c r="V23" s="24"/>
      <c r="W23" s="24"/>
      <c r="X23" s="24"/>
      <c r="Y23" s="24"/>
      <c r="Z23" s="24"/>
      <c r="AA23" s="24"/>
      <c r="AB23" s="24"/>
      <c r="AC23" s="9"/>
      <c r="AD23" s="9"/>
      <c r="AE23" s="9"/>
      <c r="AF23" s="25"/>
      <c r="AH23" s="10"/>
      <c r="AI23" s="25"/>
      <c r="AJ23" s="25"/>
      <c r="AL23" s="9"/>
      <c r="AP23" s="9"/>
      <c r="AQ23" s="9"/>
    </row>
    <row r="24" spans="1:43">
      <c r="A24" s="13">
        <v>17777</v>
      </c>
      <c r="B24" s="3">
        <v>14.4651</v>
      </c>
      <c r="C24" s="24">
        <v>58513</v>
      </c>
      <c r="D24" s="24">
        <v>45294</v>
      </c>
      <c r="E24" s="2">
        <v>3.8</v>
      </c>
      <c r="F24" s="33">
        <v>-2.6981999999999999E-2</v>
      </c>
      <c r="G24" s="33">
        <v>-3.0055999999999999E-2</v>
      </c>
      <c r="H24" s="25">
        <v>2.84</v>
      </c>
      <c r="I24" s="25">
        <v>3.45</v>
      </c>
      <c r="J24" s="33"/>
      <c r="K24" s="33"/>
      <c r="L24" s="25">
        <v>1.0900000000000001</v>
      </c>
      <c r="M24" s="33">
        <v>11.5</v>
      </c>
      <c r="N24" s="9"/>
      <c r="O24" s="31">
        <v>120.2</v>
      </c>
      <c r="P24" s="38">
        <v>79.396680000000003</v>
      </c>
      <c r="Q24" s="24"/>
      <c r="R24" s="38"/>
      <c r="T24" s="2"/>
      <c r="U24" s="2"/>
      <c r="V24" s="24"/>
      <c r="W24" s="24"/>
      <c r="X24" s="24"/>
      <c r="Y24" s="24"/>
      <c r="Z24" s="24"/>
      <c r="AA24" s="24"/>
      <c r="AB24" s="24"/>
      <c r="AC24" s="9"/>
      <c r="AD24" s="9"/>
      <c r="AE24" s="9"/>
      <c r="AF24" s="25"/>
      <c r="AH24" s="10"/>
      <c r="AI24" s="25"/>
      <c r="AJ24" s="25"/>
      <c r="AL24" s="9"/>
      <c r="AP24" s="9"/>
      <c r="AQ24" s="9"/>
    </row>
    <row r="25" spans="1:43">
      <c r="A25" s="13">
        <v>17807</v>
      </c>
      <c r="B25" s="3">
        <v>14.5725</v>
      </c>
      <c r="C25" s="24">
        <v>58387</v>
      </c>
      <c r="D25" s="24">
        <v>45250</v>
      </c>
      <c r="E25" s="2">
        <v>3.7</v>
      </c>
      <c r="F25" s="33">
        <v>6.9961999999999996E-2</v>
      </c>
      <c r="G25" s="33">
        <v>6.7785999999999999E-2</v>
      </c>
      <c r="H25" s="25">
        <v>2.84</v>
      </c>
      <c r="I25" s="25">
        <v>3.5</v>
      </c>
      <c r="J25" s="33"/>
      <c r="K25" s="33"/>
      <c r="L25" s="25">
        <v>1.1200000000000001</v>
      </c>
      <c r="M25" s="33">
        <v>11.5</v>
      </c>
      <c r="N25" s="9"/>
      <c r="O25" s="31">
        <v>118</v>
      </c>
      <c r="P25" s="38">
        <v>65.409819999999996</v>
      </c>
      <c r="Q25" s="24"/>
      <c r="R25" s="38"/>
      <c r="T25" s="2"/>
      <c r="U25" s="2"/>
      <c r="V25" s="24"/>
      <c r="W25" s="24"/>
      <c r="X25" s="24"/>
      <c r="Y25" s="24"/>
      <c r="Z25" s="24"/>
      <c r="AA25" s="24"/>
      <c r="AB25" s="24"/>
      <c r="AC25" s="9"/>
      <c r="AD25" s="9"/>
      <c r="AE25" s="9"/>
      <c r="AF25" s="25"/>
      <c r="AH25" s="10"/>
      <c r="AI25" s="25"/>
      <c r="AJ25" s="25"/>
      <c r="AL25" s="9"/>
      <c r="AP25" s="9"/>
      <c r="AQ25" s="9"/>
    </row>
    <row r="26" spans="1:43">
      <c r="A26" s="13">
        <v>17838</v>
      </c>
      <c r="B26" s="3">
        <v>14.384600000000001</v>
      </c>
      <c r="C26" s="24">
        <v>58417</v>
      </c>
      <c r="D26" s="24">
        <v>45194</v>
      </c>
      <c r="E26" s="2">
        <v>3.8</v>
      </c>
      <c r="F26" s="33">
        <v>-9.8347000000000004E-2</v>
      </c>
      <c r="G26" s="33">
        <v>-0.108223</v>
      </c>
      <c r="H26" s="25">
        <v>2.84</v>
      </c>
      <c r="I26" s="25">
        <v>3.53</v>
      </c>
      <c r="J26" s="33"/>
      <c r="K26" s="33"/>
      <c r="L26" s="25">
        <v>1.1399999999999999</v>
      </c>
      <c r="M26" s="33">
        <v>11.5</v>
      </c>
      <c r="N26" s="9"/>
      <c r="O26" s="31">
        <v>121.3</v>
      </c>
      <c r="P26" s="38">
        <v>84.623270000000005</v>
      </c>
      <c r="Q26" s="24"/>
      <c r="R26" s="38"/>
      <c r="T26" s="2"/>
      <c r="U26" s="2"/>
      <c r="V26" s="24"/>
      <c r="W26" s="24"/>
      <c r="X26" s="24"/>
      <c r="Y26" s="24"/>
      <c r="Z26" s="24"/>
      <c r="AA26" s="24"/>
      <c r="AB26" s="24"/>
      <c r="AC26" s="9"/>
      <c r="AD26" s="9"/>
      <c r="AE26" s="9"/>
      <c r="AF26" s="25"/>
      <c r="AH26" s="10"/>
      <c r="AI26" s="25"/>
      <c r="AJ26" s="25"/>
      <c r="AL26" s="9"/>
      <c r="AP26" s="9"/>
      <c r="AQ26" s="9"/>
    </row>
    <row r="27" spans="1:43">
      <c r="A27" s="13">
        <v>17868</v>
      </c>
      <c r="B27" s="3">
        <v>14.250400000000001</v>
      </c>
      <c r="C27" s="24">
        <v>58740</v>
      </c>
      <c r="D27" s="24">
        <v>45028</v>
      </c>
      <c r="E27" s="2">
        <v>4</v>
      </c>
      <c r="F27" s="33">
        <v>3.5954E-2</v>
      </c>
      <c r="G27" s="33">
        <v>3.0508E-2</v>
      </c>
      <c r="H27" s="25">
        <v>2.79</v>
      </c>
      <c r="I27" s="25">
        <v>3.53</v>
      </c>
      <c r="J27" s="33"/>
      <c r="K27" s="33"/>
      <c r="L27" s="25">
        <v>1.1599999999999999</v>
      </c>
      <c r="M27" s="33">
        <v>11.5</v>
      </c>
      <c r="N27" s="9"/>
      <c r="O27" s="31">
        <v>119.4</v>
      </c>
      <c r="P27" s="38">
        <v>77.294719999999998</v>
      </c>
      <c r="Q27" s="24"/>
      <c r="R27" s="38"/>
      <c r="T27" s="2"/>
      <c r="U27" s="2"/>
      <c r="V27" s="24"/>
      <c r="W27" s="24"/>
      <c r="X27" s="24"/>
      <c r="Y27" s="24"/>
      <c r="Z27" s="24"/>
      <c r="AA27" s="24"/>
      <c r="AB27" s="24"/>
      <c r="AC27" s="9"/>
      <c r="AD27" s="9"/>
      <c r="AE27" s="9"/>
      <c r="AF27" s="25"/>
      <c r="AH27" s="10"/>
      <c r="AI27" s="25"/>
      <c r="AJ27" s="25"/>
      <c r="AL27" s="9"/>
      <c r="AP27" s="9"/>
      <c r="AQ27" s="9"/>
    </row>
    <row r="28" spans="1:43">
      <c r="A28" s="13">
        <v>17899</v>
      </c>
      <c r="B28" s="3">
        <v>14.116199999999999</v>
      </c>
      <c r="C28" s="24">
        <v>58175</v>
      </c>
      <c r="D28" s="24">
        <v>44675</v>
      </c>
      <c r="E28" s="2">
        <v>4.3</v>
      </c>
      <c r="F28" s="33">
        <v>2.6749999999999999E-3</v>
      </c>
      <c r="G28" s="33">
        <v>1.3159999999999999E-3</v>
      </c>
      <c r="H28" s="25">
        <v>2.71</v>
      </c>
      <c r="I28" s="25">
        <v>3.46</v>
      </c>
      <c r="J28" s="33"/>
      <c r="K28" s="33"/>
      <c r="L28" s="25">
        <v>1.17</v>
      </c>
      <c r="M28" s="33">
        <v>11.4</v>
      </c>
      <c r="N28" s="9"/>
      <c r="O28" s="31">
        <v>116.6</v>
      </c>
      <c r="P28" s="38">
        <v>107.1155</v>
      </c>
      <c r="Q28" s="24"/>
      <c r="R28" s="38"/>
      <c r="T28" s="2"/>
      <c r="U28" s="2"/>
      <c r="V28" s="24"/>
      <c r="W28" s="24"/>
      <c r="X28" s="24"/>
      <c r="Y28" s="24"/>
      <c r="Z28" s="24"/>
      <c r="AA28" s="24"/>
      <c r="AB28" s="24"/>
      <c r="AC28" s="9"/>
      <c r="AD28" s="9"/>
      <c r="AE28" s="9"/>
      <c r="AF28" s="25"/>
      <c r="AH28" s="10"/>
      <c r="AI28" s="25"/>
      <c r="AJ28" s="25"/>
      <c r="AL28" s="9"/>
      <c r="AP28" s="9"/>
      <c r="AQ28" s="9"/>
    </row>
    <row r="29" spans="1:43">
      <c r="A29" s="13">
        <v>17930</v>
      </c>
      <c r="B29" s="3">
        <v>13.981999999999999</v>
      </c>
      <c r="C29" s="24">
        <v>58208</v>
      </c>
      <c r="D29" s="24">
        <v>44500</v>
      </c>
      <c r="E29" s="2">
        <v>4.7</v>
      </c>
      <c r="F29" s="33">
        <v>-3.1640000000000001E-2</v>
      </c>
      <c r="G29" s="33">
        <v>-3.9421999999999999E-2</v>
      </c>
      <c r="H29" s="25">
        <v>2.71</v>
      </c>
      <c r="I29" s="25">
        <v>3.45</v>
      </c>
      <c r="J29" s="33"/>
      <c r="K29" s="33"/>
      <c r="L29" s="25">
        <v>1.17</v>
      </c>
      <c r="M29" s="33">
        <v>11.4</v>
      </c>
      <c r="N29" s="9"/>
      <c r="O29" s="31">
        <v>110.3</v>
      </c>
      <c r="P29" s="38">
        <v>62.029029999999999</v>
      </c>
      <c r="Q29" s="24"/>
      <c r="R29" s="38"/>
      <c r="T29" s="2"/>
      <c r="U29" s="2"/>
      <c r="V29" s="24"/>
      <c r="W29" s="24"/>
      <c r="X29" s="24"/>
      <c r="Y29" s="24"/>
      <c r="Z29" s="24"/>
      <c r="AA29" s="24"/>
      <c r="AB29" s="24"/>
      <c r="AC29" s="9"/>
      <c r="AD29" s="9"/>
      <c r="AE29" s="9"/>
      <c r="AF29" s="25"/>
      <c r="AH29" s="10"/>
      <c r="AI29" s="25"/>
      <c r="AJ29" s="25"/>
      <c r="AL29" s="9"/>
      <c r="AP29" s="9"/>
      <c r="AQ29" s="9"/>
    </row>
    <row r="30" spans="1:43">
      <c r="A30" s="13">
        <v>17958</v>
      </c>
      <c r="B30" s="3">
        <v>13.713699999999999</v>
      </c>
      <c r="C30" s="24">
        <v>58043</v>
      </c>
      <c r="D30" s="24">
        <v>44238</v>
      </c>
      <c r="E30" s="2">
        <v>5</v>
      </c>
      <c r="F30" s="33">
        <v>3.3981999999999998E-2</v>
      </c>
      <c r="G30" s="33">
        <v>3.0096000000000001E-2</v>
      </c>
      <c r="H30" s="25">
        <v>2.7</v>
      </c>
      <c r="I30" s="25">
        <v>3.47</v>
      </c>
      <c r="J30" s="33"/>
      <c r="K30" s="33"/>
      <c r="L30" s="25">
        <v>1.17</v>
      </c>
      <c r="M30" s="33">
        <v>11.4</v>
      </c>
      <c r="N30" s="9"/>
      <c r="O30" s="31">
        <v>101.8</v>
      </c>
      <c r="P30" s="38">
        <v>64.771829999999994</v>
      </c>
      <c r="Q30" s="24"/>
      <c r="R30" s="38"/>
      <c r="T30" s="2"/>
      <c r="U30" s="2"/>
      <c r="V30" s="24"/>
      <c r="W30" s="24"/>
      <c r="X30" s="24"/>
      <c r="Y30" s="24"/>
      <c r="Z30" s="24"/>
      <c r="AA30" s="24"/>
      <c r="AB30" s="24"/>
      <c r="AC30" s="9"/>
      <c r="AD30" s="9"/>
      <c r="AE30" s="9"/>
      <c r="AF30" s="25"/>
      <c r="AH30" s="10"/>
      <c r="AI30" s="25"/>
      <c r="AJ30" s="25"/>
      <c r="AL30" s="9"/>
      <c r="AP30" s="9"/>
      <c r="AQ30" s="9"/>
    </row>
    <row r="31" spans="1:43">
      <c r="A31" s="13">
        <v>17989</v>
      </c>
      <c r="B31" s="3">
        <v>13.6332</v>
      </c>
      <c r="C31" s="24">
        <v>57747</v>
      </c>
      <c r="D31" s="24">
        <v>44230</v>
      </c>
      <c r="E31" s="2">
        <v>5.3</v>
      </c>
      <c r="F31" s="33">
        <v>-1.8690999999999999E-2</v>
      </c>
      <c r="G31" s="33">
        <v>-2.1248E-2</v>
      </c>
      <c r="H31" s="25">
        <v>2.7</v>
      </c>
      <c r="I31" s="25">
        <v>3.45</v>
      </c>
      <c r="J31" s="33"/>
      <c r="K31" s="33"/>
      <c r="L31" s="25">
        <v>1.17</v>
      </c>
      <c r="M31" s="33">
        <v>11.4</v>
      </c>
      <c r="N31" s="9"/>
      <c r="O31" s="31">
        <v>91.2</v>
      </c>
      <c r="P31" s="38">
        <v>64.232550000000003</v>
      </c>
      <c r="Q31" s="24"/>
      <c r="R31" s="38"/>
      <c r="T31" s="2"/>
      <c r="U31" s="2"/>
      <c r="V31" s="24"/>
      <c r="W31" s="24"/>
      <c r="X31" s="24"/>
      <c r="Y31" s="24"/>
      <c r="Z31" s="24"/>
      <c r="AA31" s="24"/>
      <c r="AB31" s="24"/>
      <c r="AC31" s="9"/>
      <c r="AD31" s="9"/>
      <c r="AE31" s="9"/>
      <c r="AF31" s="25"/>
      <c r="AH31" s="10"/>
      <c r="AI31" s="25"/>
      <c r="AJ31" s="25"/>
      <c r="AL31" s="9"/>
      <c r="AP31" s="9"/>
      <c r="AQ31" s="9"/>
    </row>
    <row r="32" spans="1:43">
      <c r="A32" s="13">
        <v>18019</v>
      </c>
      <c r="B32" s="3">
        <v>13.4453</v>
      </c>
      <c r="C32" s="24">
        <v>57552</v>
      </c>
      <c r="D32" s="24">
        <v>43982</v>
      </c>
      <c r="E32" s="2">
        <v>6.1</v>
      </c>
      <c r="F32" s="33">
        <v>-2.9423999999999999E-2</v>
      </c>
      <c r="G32" s="33">
        <v>-3.7312999999999999E-2</v>
      </c>
      <c r="H32" s="25">
        <v>2.71</v>
      </c>
      <c r="I32" s="25">
        <v>3.45</v>
      </c>
      <c r="J32" s="33"/>
      <c r="K32" s="33"/>
      <c r="L32" s="25">
        <v>1.17</v>
      </c>
      <c r="M32" s="33">
        <v>11.4</v>
      </c>
      <c r="N32" s="9"/>
      <c r="O32" s="31">
        <v>89.9</v>
      </c>
      <c r="P32" s="38">
        <v>42.738430000000001</v>
      </c>
      <c r="Q32" s="24"/>
      <c r="R32" s="38"/>
      <c r="T32" s="2"/>
      <c r="U32" s="2"/>
      <c r="V32" s="24"/>
      <c r="W32" s="24"/>
      <c r="X32" s="24"/>
      <c r="Y32" s="24"/>
      <c r="Z32" s="24"/>
      <c r="AA32" s="24"/>
      <c r="AB32" s="24"/>
      <c r="AC32" s="9"/>
      <c r="AD32" s="9"/>
      <c r="AE32" s="9"/>
      <c r="AF32" s="25"/>
      <c r="AH32" s="10"/>
      <c r="AI32" s="25"/>
      <c r="AJ32" s="25"/>
      <c r="AL32" s="9"/>
      <c r="AP32" s="9"/>
      <c r="AQ32" s="9"/>
    </row>
    <row r="33" spans="1:43">
      <c r="A33" s="13">
        <v>18050</v>
      </c>
      <c r="B33" s="3">
        <v>13.4185</v>
      </c>
      <c r="C33" s="24">
        <v>57172</v>
      </c>
      <c r="D33" s="24">
        <v>43739</v>
      </c>
      <c r="E33" s="2">
        <v>6.2</v>
      </c>
      <c r="F33" s="33">
        <v>1.7440000000000001E-3</v>
      </c>
      <c r="G33" s="33">
        <v>-2.114E-3</v>
      </c>
      <c r="H33" s="25">
        <v>2.71</v>
      </c>
      <c r="I33" s="25">
        <v>3.47</v>
      </c>
      <c r="J33" s="33"/>
      <c r="K33" s="33"/>
      <c r="L33" s="25">
        <v>1.17</v>
      </c>
      <c r="M33" s="33">
        <v>11.3</v>
      </c>
      <c r="N33" s="9"/>
      <c r="O33" s="31">
        <v>87</v>
      </c>
      <c r="P33" s="38">
        <v>57.960209999999996</v>
      </c>
      <c r="Q33" s="24"/>
      <c r="R33" s="38"/>
      <c r="T33" s="2"/>
      <c r="U33" s="2"/>
      <c r="V33" s="24"/>
      <c r="W33" s="24"/>
      <c r="X33" s="24"/>
      <c r="Y33" s="24"/>
      <c r="Z33" s="24"/>
      <c r="AA33" s="24"/>
      <c r="AB33" s="24"/>
      <c r="AC33" s="9"/>
      <c r="AD33" s="9"/>
      <c r="AE33" s="9"/>
      <c r="AF33" s="25"/>
      <c r="AH33" s="10"/>
      <c r="AI33" s="25"/>
      <c r="AJ33" s="25"/>
      <c r="AL33" s="9"/>
      <c r="AP33" s="9"/>
      <c r="AQ33" s="9"/>
    </row>
    <row r="34" spans="1:43">
      <c r="A34" s="13">
        <v>18080</v>
      </c>
      <c r="B34" s="3">
        <v>13.3916</v>
      </c>
      <c r="C34" s="24">
        <v>57190</v>
      </c>
      <c r="D34" s="24">
        <v>43530</v>
      </c>
      <c r="E34" s="2">
        <v>6.7</v>
      </c>
      <c r="F34" s="33">
        <v>6.2731999999999996E-2</v>
      </c>
      <c r="G34" s="33">
        <v>6.2147000000000001E-2</v>
      </c>
      <c r="H34" s="25">
        <v>2.67</v>
      </c>
      <c r="I34" s="25">
        <v>3.46</v>
      </c>
      <c r="J34" s="33"/>
      <c r="K34" s="33"/>
      <c r="L34" s="25">
        <v>1.02</v>
      </c>
      <c r="M34" s="33">
        <v>11.3</v>
      </c>
      <c r="N34" s="9"/>
      <c r="O34" s="31">
        <v>88.6</v>
      </c>
      <c r="P34" s="38">
        <v>92.773539999999997</v>
      </c>
      <c r="Q34" s="24"/>
      <c r="R34" s="38"/>
      <c r="T34" s="2"/>
      <c r="U34" s="2"/>
      <c r="V34" s="24"/>
      <c r="W34" s="24"/>
      <c r="X34" s="24"/>
      <c r="Y34" s="24"/>
      <c r="Z34" s="24"/>
      <c r="AA34" s="24"/>
      <c r="AB34" s="24"/>
      <c r="AC34" s="9"/>
      <c r="AD34" s="9"/>
      <c r="AE34" s="9"/>
      <c r="AF34" s="25"/>
      <c r="AH34" s="10"/>
      <c r="AI34" s="25"/>
      <c r="AJ34" s="25"/>
      <c r="AL34" s="9"/>
      <c r="AP34" s="9"/>
      <c r="AQ34" s="9"/>
    </row>
    <row r="35" spans="1:43">
      <c r="A35" s="13">
        <v>18111</v>
      </c>
      <c r="B35" s="3">
        <v>13.5258</v>
      </c>
      <c r="C35" s="24">
        <v>57397</v>
      </c>
      <c r="D35" s="24">
        <v>43621</v>
      </c>
      <c r="E35" s="2">
        <v>6.8</v>
      </c>
      <c r="F35" s="33">
        <v>2.1798999999999999E-2</v>
      </c>
      <c r="G35" s="33">
        <v>1.1967999999999999E-2</v>
      </c>
      <c r="H35" s="25">
        <v>2.62</v>
      </c>
      <c r="I35" s="25">
        <v>3.4</v>
      </c>
      <c r="J35" s="33"/>
      <c r="K35" s="33"/>
      <c r="L35" s="25">
        <v>1.04</v>
      </c>
      <c r="M35" s="33">
        <v>11.3</v>
      </c>
      <c r="N35" s="9"/>
      <c r="O35" s="31">
        <v>93.5</v>
      </c>
      <c r="P35" s="38">
        <v>79.462699999999998</v>
      </c>
      <c r="Q35" s="24"/>
      <c r="R35" s="38"/>
      <c r="T35" s="2"/>
      <c r="U35" s="2"/>
      <c r="V35" s="24"/>
      <c r="W35" s="24"/>
      <c r="X35" s="24"/>
      <c r="Y35" s="24"/>
      <c r="Z35" s="24"/>
      <c r="AA35" s="24"/>
      <c r="AB35" s="24"/>
      <c r="AC35" s="9"/>
      <c r="AD35" s="9"/>
      <c r="AE35" s="9"/>
      <c r="AF35" s="25"/>
      <c r="AH35" s="10"/>
      <c r="AI35" s="25"/>
      <c r="AJ35" s="25"/>
      <c r="AL35" s="9"/>
      <c r="AP35" s="9"/>
      <c r="AQ35" s="9"/>
    </row>
    <row r="36" spans="1:43">
      <c r="A36" s="13">
        <v>18142</v>
      </c>
      <c r="B36" s="3">
        <v>13.66</v>
      </c>
      <c r="C36" s="24">
        <v>57584</v>
      </c>
      <c r="D36" s="24">
        <v>43784</v>
      </c>
      <c r="E36" s="2">
        <v>6.6</v>
      </c>
      <c r="F36" s="33">
        <v>2.7414000000000001E-2</v>
      </c>
      <c r="G36" s="33">
        <v>2.3653E-2</v>
      </c>
      <c r="H36" s="25">
        <v>2.6</v>
      </c>
      <c r="I36" s="25">
        <v>3.37</v>
      </c>
      <c r="J36" s="33"/>
      <c r="K36" s="33"/>
      <c r="L36" s="25">
        <v>1.07</v>
      </c>
      <c r="M36" s="33">
        <v>11.3</v>
      </c>
      <c r="N36" s="9"/>
      <c r="O36" s="31">
        <v>95</v>
      </c>
      <c r="P36" s="38">
        <v>84.379819999999995</v>
      </c>
      <c r="Q36" s="24"/>
      <c r="R36" s="38"/>
      <c r="T36" s="2"/>
      <c r="U36" s="2"/>
      <c r="V36" s="24"/>
      <c r="W36" s="24"/>
      <c r="X36" s="24"/>
      <c r="Y36" s="24"/>
      <c r="Z36" s="24"/>
      <c r="AA36" s="24"/>
      <c r="AB36" s="24"/>
      <c r="AC36" s="9"/>
      <c r="AD36" s="9"/>
      <c r="AE36" s="9"/>
      <c r="AF36" s="25"/>
      <c r="AH36" s="10"/>
      <c r="AI36" s="25"/>
      <c r="AJ36" s="25"/>
      <c r="AL36" s="9"/>
      <c r="AP36" s="9"/>
      <c r="AQ36" s="9"/>
    </row>
    <row r="37" spans="1:43">
      <c r="A37" s="13">
        <v>18172</v>
      </c>
      <c r="B37" s="3">
        <v>13.1501</v>
      </c>
      <c r="C37" s="24">
        <v>57269</v>
      </c>
      <c r="D37" s="24">
        <v>42950</v>
      </c>
      <c r="E37" s="2">
        <v>7.9</v>
      </c>
      <c r="F37" s="33">
        <v>2.9780000000000001E-2</v>
      </c>
      <c r="G37" s="33">
        <v>2.9524999999999999E-2</v>
      </c>
      <c r="H37" s="25">
        <v>2.61</v>
      </c>
      <c r="I37" s="25">
        <v>3.36</v>
      </c>
      <c r="J37" s="33"/>
      <c r="K37" s="33"/>
      <c r="L37" s="25">
        <v>1.05</v>
      </c>
      <c r="M37" s="33">
        <v>11.3</v>
      </c>
      <c r="N37" s="9"/>
      <c r="O37" s="31">
        <v>91.1</v>
      </c>
      <c r="P37" s="38">
        <v>73.081670000000003</v>
      </c>
      <c r="Q37" s="24"/>
      <c r="R37" s="38"/>
      <c r="T37" s="2"/>
      <c r="U37" s="2"/>
      <c r="V37" s="24"/>
      <c r="W37" s="24"/>
      <c r="X37" s="24"/>
      <c r="Y37" s="24"/>
      <c r="Z37" s="24"/>
      <c r="AA37" s="24"/>
      <c r="AB37" s="24"/>
      <c r="AC37" s="9"/>
      <c r="AD37" s="9"/>
      <c r="AE37" s="9"/>
      <c r="AF37" s="25"/>
      <c r="AH37" s="10"/>
      <c r="AI37" s="25"/>
      <c r="AJ37" s="25"/>
      <c r="AL37" s="9"/>
      <c r="AP37" s="9"/>
      <c r="AQ37" s="9"/>
    </row>
    <row r="38" spans="1:43">
      <c r="A38" s="13">
        <v>18203</v>
      </c>
      <c r="B38" s="3">
        <v>13.499000000000001</v>
      </c>
      <c r="C38" s="24">
        <v>58009</v>
      </c>
      <c r="D38" s="24">
        <v>43244</v>
      </c>
      <c r="E38" s="2">
        <v>6.4</v>
      </c>
      <c r="F38" s="33">
        <v>2.0740000000000001E-2</v>
      </c>
      <c r="G38" s="33">
        <v>1.2470000000000001E-3</v>
      </c>
      <c r="H38" s="25">
        <v>2.6</v>
      </c>
      <c r="I38" s="25">
        <v>3.35</v>
      </c>
      <c r="J38" s="33"/>
      <c r="K38" s="33"/>
      <c r="L38" s="25">
        <v>1.08</v>
      </c>
      <c r="M38" s="33">
        <v>11.3</v>
      </c>
      <c r="N38" s="9"/>
      <c r="O38" s="31">
        <v>93.8</v>
      </c>
      <c r="P38" s="38">
        <v>29.730969999999999</v>
      </c>
      <c r="Q38" s="24"/>
      <c r="R38" s="38"/>
      <c r="T38" s="2"/>
      <c r="U38" s="2"/>
      <c r="V38" s="24"/>
      <c r="W38" s="24"/>
      <c r="X38" s="24"/>
      <c r="Y38" s="24"/>
      <c r="Z38" s="24"/>
      <c r="AA38" s="24"/>
      <c r="AB38" s="24"/>
      <c r="AC38" s="9"/>
      <c r="AD38" s="9"/>
      <c r="AE38" s="9"/>
      <c r="AF38" s="25"/>
      <c r="AH38" s="10"/>
      <c r="AI38" s="25"/>
      <c r="AJ38" s="25"/>
      <c r="AL38" s="9"/>
      <c r="AP38" s="9"/>
      <c r="AQ38" s="9"/>
    </row>
    <row r="39" spans="1:43">
      <c r="A39" s="13">
        <v>18233</v>
      </c>
      <c r="B39" s="3">
        <v>13.740500000000001</v>
      </c>
      <c r="C39" s="24">
        <v>57845</v>
      </c>
      <c r="D39" s="24">
        <v>43516</v>
      </c>
      <c r="E39" s="2">
        <v>6.6</v>
      </c>
      <c r="F39" s="33">
        <v>5.0985000000000003E-2</v>
      </c>
      <c r="G39" s="33">
        <v>4.3587000000000001E-2</v>
      </c>
      <c r="H39" s="25">
        <v>2.58</v>
      </c>
      <c r="I39" s="25">
        <v>3.31</v>
      </c>
      <c r="J39" s="33"/>
      <c r="K39" s="33"/>
      <c r="L39" s="25">
        <v>1.1000000000000001</v>
      </c>
      <c r="M39" s="33">
        <v>11.3</v>
      </c>
      <c r="N39" s="9"/>
      <c r="O39" s="31">
        <v>92.8</v>
      </c>
      <c r="P39" s="38">
        <v>38.279299999999999</v>
      </c>
      <c r="Q39" s="24"/>
      <c r="R39" s="38"/>
      <c r="T39" s="2"/>
      <c r="U39" s="2"/>
      <c r="V39" s="24"/>
      <c r="W39" s="24"/>
      <c r="X39" s="24"/>
      <c r="Y39" s="24"/>
      <c r="Z39" s="24"/>
      <c r="AA39" s="24"/>
      <c r="AB39" s="24"/>
      <c r="AC39" s="9"/>
      <c r="AD39" s="9"/>
      <c r="AE39" s="9"/>
      <c r="AF39" s="25"/>
      <c r="AH39" s="10"/>
      <c r="AI39" s="25"/>
      <c r="AJ39" s="25"/>
      <c r="AL39" s="9"/>
      <c r="AP39" s="9"/>
      <c r="AQ39" s="9"/>
    </row>
    <row r="40" spans="1:43">
      <c r="A40" s="13">
        <v>18264</v>
      </c>
      <c r="B40" s="3">
        <v>13.981999999999999</v>
      </c>
      <c r="C40" s="24">
        <v>57635</v>
      </c>
      <c r="D40" s="24">
        <v>43530</v>
      </c>
      <c r="E40" s="2">
        <v>6.5</v>
      </c>
      <c r="F40" s="33">
        <v>1.9702999999999998E-2</v>
      </c>
      <c r="G40" s="33">
        <v>1.7302999999999999E-2</v>
      </c>
      <c r="H40" s="25">
        <v>2.57</v>
      </c>
      <c r="I40" s="25">
        <v>3.24</v>
      </c>
      <c r="J40" s="33"/>
      <c r="K40" s="33"/>
      <c r="L40" s="25">
        <v>1.07</v>
      </c>
      <c r="M40" s="33">
        <v>11.3</v>
      </c>
      <c r="N40" s="9"/>
      <c r="O40" s="31">
        <v>94.1</v>
      </c>
      <c r="P40" s="38">
        <v>82.22569</v>
      </c>
      <c r="Q40" s="24"/>
      <c r="R40" s="38"/>
      <c r="T40" s="2"/>
      <c r="U40" s="2"/>
      <c r="V40" s="24"/>
      <c r="W40" s="24"/>
      <c r="X40" s="24"/>
      <c r="Y40" s="24"/>
      <c r="Z40" s="24"/>
      <c r="AA40" s="24"/>
      <c r="AB40" s="24"/>
      <c r="AC40" s="9"/>
      <c r="AD40" s="9"/>
      <c r="AE40" s="9"/>
      <c r="AF40" s="25"/>
      <c r="AH40" s="10"/>
      <c r="AI40" s="25"/>
      <c r="AJ40" s="25"/>
      <c r="AL40" s="9"/>
      <c r="AP40" s="9"/>
      <c r="AQ40" s="9"/>
    </row>
    <row r="41" spans="1:43">
      <c r="A41" s="13">
        <v>18295</v>
      </c>
      <c r="B41" s="3">
        <v>14.0357</v>
      </c>
      <c r="C41" s="24">
        <v>57751</v>
      </c>
      <c r="D41" s="24">
        <v>43298</v>
      </c>
      <c r="E41" s="2">
        <v>6.4</v>
      </c>
      <c r="F41" s="33">
        <v>1.9604E-2</v>
      </c>
      <c r="G41" s="33">
        <v>9.9710000000000007E-3</v>
      </c>
      <c r="H41" s="25">
        <v>2.58</v>
      </c>
      <c r="I41" s="25">
        <v>3.24</v>
      </c>
      <c r="J41" s="33"/>
      <c r="K41" s="33"/>
      <c r="L41" s="25">
        <v>1.1200000000000001</v>
      </c>
      <c r="M41" s="33">
        <v>11.3</v>
      </c>
      <c r="N41" s="9"/>
      <c r="O41" s="31">
        <v>93.2</v>
      </c>
      <c r="P41" s="38">
        <v>71.536659999999998</v>
      </c>
      <c r="Q41" s="24"/>
      <c r="R41" s="38"/>
      <c r="T41" s="2"/>
      <c r="U41" s="2"/>
      <c r="V41" s="24"/>
      <c r="W41" s="24"/>
      <c r="X41" s="24"/>
      <c r="Y41" s="24"/>
      <c r="Z41" s="24"/>
      <c r="AA41" s="24"/>
      <c r="AB41" s="24"/>
      <c r="AC41" s="9"/>
      <c r="AD41" s="9"/>
      <c r="AE41" s="9"/>
      <c r="AF41" s="25"/>
      <c r="AH41" s="10"/>
      <c r="AI41" s="25"/>
      <c r="AJ41" s="25"/>
      <c r="AL41" s="9"/>
      <c r="AP41" s="9"/>
      <c r="AQ41" s="9"/>
    </row>
    <row r="42" spans="1:43">
      <c r="A42" s="13">
        <v>18323</v>
      </c>
      <c r="B42" s="3">
        <v>14.491899999999999</v>
      </c>
      <c r="C42" s="24">
        <v>57728</v>
      </c>
      <c r="D42" s="24">
        <v>43952</v>
      </c>
      <c r="E42" s="2">
        <v>6.3</v>
      </c>
      <c r="F42" s="33">
        <v>8.1849999999999996E-3</v>
      </c>
      <c r="G42" s="33">
        <v>4.065E-3</v>
      </c>
      <c r="H42" s="25">
        <v>2.58</v>
      </c>
      <c r="I42" s="25">
        <v>3.24</v>
      </c>
      <c r="J42" s="33"/>
      <c r="K42" s="33"/>
      <c r="L42" s="25">
        <v>1.1200000000000001</v>
      </c>
      <c r="M42" s="33">
        <v>11.3</v>
      </c>
      <c r="N42" s="9"/>
      <c r="O42" s="31">
        <v>92.9</v>
      </c>
      <c r="P42" s="38">
        <v>60.348320000000001</v>
      </c>
      <c r="Q42" s="24"/>
      <c r="R42" s="38"/>
      <c r="T42" s="2"/>
      <c r="U42" s="2"/>
      <c r="V42" s="24"/>
      <c r="W42" s="24"/>
      <c r="X42" s="24"/>
      <c r="Y42" s="24"/>
      <c r="Z42" s="24"/>
      <c r="AA42" s="24"/>
      <c r="AB42" s="24"/>
      <c r="AC42" s="9"/>
      <c r="AD42" s="9"/>
      <c r="AE42" s="9"/>
      <c r="AF42" s="25"/>
      <c r="AH42" s="10"/>
      <c r="AI42" s="25"/>
      <c r="AJ42" s="25"/>
      <c r="AL42" s="9"/>
      <c r="AP42" s="9"/>
      <c r="AQ42" s="9"/>
    </row>
    <row r="43" spans="1:43">
      <c r="A43" s="13">
        <v>18354</v>
      </c>
      <c r="B43" s="3">
        <v>14.975</v>
      </c>
      <c r="C43" s="24">
        <v>58583</v>
      </c>
      <c r="D43" s="24">
        <v>44376</v>
      </c>
      <c r="E43" s="2">
        <v>5.8</v>
      </c>
      <c r="F43" s="33">
        <v>4.5886999999999997E-2</v>
      </c>
      <c r="G43" s="33">
        <v>4.5113E-2</v>
      </c>
      <c r="H43" s="25">
        <v>2.6</v>
      </c>
      <c r="I43" s="25">
        <v>3.23</v>
      </c>
      <c r="J43" s="33"/>
      <c r="K43" s="33"/>
      <c r="L43" s="25">
        <v>1.1499999999999999</v>
      </c>
      <c r="M43" s="33">
        <v>11.3</v>
      </c>
      <c r="N43" s="9"/>
      <c r="O43" s="31">
        <v>94</v>
      </c>
      <c r="P43" s="38">
        <v>71.944500000000005</v>
      </c>
      <c r="Q43" s="24"/>
      <c r="R43" s="38"/>
      <c r="T43" s="2"/>
      <c r="U43" s="2"/>
      <c r="V43" s="24"/>
      <c r="W43" s="24"/>
      <c r="X43" s="24"/>
      <c r="Y43" s="24"/>
      <c r="Z43" s="24"/>
      <c r="AA43" s="24"/>
      <c r="AB43" s="24"/>
      <c r="AC43" s="9"/>
      <c r="AD43" s="9"/>
      <c r="AE43" s="9"/>
      <c r="AF43" s="25"/>
      <c r="AH43" s="10"/>
      <c r="AI43" s="25"/>
      <c r="AJ43" s="25"/>
      <c r="AL43" s="9"/>
      <c r="AP43" s="9"/>
      <c r="AQ43" s="9"/>
    </row>
    <row r="44" spans="1:43">
      <c r="A44" s="13">
        <v>18384</v>
      </c>
      <c r="B44" s="3">
        <v>15.3239</v>
      </c>
      <c r="C44" s="24">
        <v>58649</v>
      </c>
      <c r="D44" s="24">
        <v>44717</v>
      </c>
      <c r="E44" s="2">
        <v>5.5</v>
      </c>
      <c r="F44" s="33">
        <v>4.6900999999999998E-2</v>
      </c>
      <c r="G44" s="33">
        <v>3.9292000000000001E-2</v>
      </c>
      <c r="H44" s="25">
        <v>2.61</v>
      </c>
      <c r="I44" s="25">
        <v>3.25</v>
      </c>
      <c r="J44" s="33"/>
      <c r="K44" s="33"/>
      <c r="L44" s="25">
        <v>1.1599999999999999</v>
      </c>
      <c r="M44" s="33">
        <v>11.3</v>
      </c>
      <c r="N44" s="9"/>
      <c r="O44" s="31">
        <v>98.2</v>
      </c>
      <c r="P44" s="38">
        <v>63.020589999999999</v>
      </c>
      <c r="Q44" s="24"/>
      <c r="R44" s="38"/>
      <c r="T44" s="2"/>
      <c r="U44" s="2"/>
      <c r="V44" s="24"/>
      <c r="W44" s="24"/>
      <c r="X44" s="24"/>
      <c r="Y44" s="24"/>
      <c r="Z44" s="24"/>
      <c r="AA44" s="24"/>
      <c r="AB44" s="24"/>
      <c r="AC44" s="9"/>
      <c r="AD44" s="9"/>
      <c r="AE44" s="9"/>
      <c r="AF44" s="25"/>
      <c r="AH44" s="10"/>
      <c r="AI44" s="25"/>
      <c r="AJ44" s="25"/>
      <c r="AL44" s="9"/>
      <c r="AP44" s="9"/>
      <c r="AQ44" s="9"/>
    </row>
    <row r="45" spans="1:43">
      <c r="A45" s="13">
        <v>18415</v>
      </c>
      <c r="B45" s="3">
        <v>15.780099999999999</v>
      </c>
      <c r="C45" s="24">
        <v>59052</v>
      </c>
      <c r="D45" s="24">
        <v>45084</v>
      </c>
      <c r="E45" s="2">
        <v>5.4</v>
      </c>
      <c r="F45" s="33">
        <v>-5.4224000000000001E-2</v>
      </c>
      <c r="G45" s="33">
        <v>-5.8040000000000001E-2</v>
      </c>
      <c r="H45" s="25">
        <v>2.62</v>
      </c>
      <c r="I45" s="25">
        <v>3.28</v>
      </c>
      <c r="J45" s="33"/>
      <c r="K45" s="33"/>
      <c r="L45" s="25">
        <v>1.1499999999999999</v>
      </c>
      <c r="M45" s="33">
        <v>11.3</v>
      </c>
      <c r="N45" s="9"/>
      <c r="O45" s="31">
        <v>101.8</v>
      </c>
      <c r="P45" s="38">
        <v>70.989630000000005</v>
      </c>
      <c r="Q45" s="24"/>
      <c r="R45" s="38"/>
      <c r="T45" s="2"/>
      <c r="U45" s="2"/>
      <c r="V45" s="24"/>
      <c r="W45" s="24"/>
      <c r="X45" s="24"/>
      <c r="Y45" s="24"/>
      <c r="Z45" s="24"/>
      <c r="AA45" s="24"/>
      <c r="AB45" s="24"/>
      <c r="AC45" s="9"/>
      <c r="AD45" s="9"/>
      <c r="AE45" s="9"/>
      <c r="AF45" s="25"/>
      <c r="AH45" s="10"/>
      <c r="AI45" s="25"/>
      <c r="AJ45" s="25"/>
      <c r="AL45" s="9"/>
      <c r="AP45" s="9"/>
      <c r="AQ45" s="9"/>
    </row>
    <row r="46" spans="1:43">
      <c r="A46" s="13">
        <v>18445</v>
      </c>
      <c r="B46" s="3">
        <v>16.29</v>
      </c>
      <c r="C46" s="24">
        <v>59001</v>
      </c>
      <c r="D46" s="24">
        <v>45453</v>
      </c>
      <c r="E46" s="2">
        <v>5</v>
      </c>
      <c r="F46" s="33">
        <v>1.6981E-2</v>
      </c>
      <c r="G46" s="33">
        <v>8.4790000000000004E-3</v>
      </c>
      <c r="H46" s="25">
        <v>2.65</v>
      </c>
      <c r="I46" s="25">
        <v>3.32</v>
      </c>
      <c r="J46" s="33"/>
      <c r="K46" s="33"/>
      <c r="L46" s="25">
        <v>1.1599999999999999</v>
      </c>
      <c r="M46" s="33">
        <v>11.3</v>
      </c>
      <c r="N46" s="9"/>
      <c r="O46" s="31">
        <v>112.8</v>
      </c>
      <c r="P46" s="38">
        <v>90.365260000000006</v>
      </c>
      <c r="Q46" s="24"/>
      <c r="R46" s="38"/>
      <c r="T46" s="2"/>
      <c r="U46" s="2"/>
      <c r="V46" s="24"/>
      <c r="W46" s="24"/>
      <c r="X46" s="24"/>
      <c r="Y46" s="24"/>
      <c r="Z46" s="24"/>
      <c r="AA46" s="24"/>
      <c r="AB46" s="24"/>
      <c r="AC46" s="9"/>
      <c r="AD46" s="9"/>
      <c r="AE46" s="9"/>
      <c r="AF46" s="25"/>
      <c r="AH46" s="10"/>
      <c r="AI46" s="25"/>
      <c r="AJ46" s="25"/>
      <c r="AL46" s="9"/>
      <c r="AP46" s="9"/>
      <c r="AQ46" s="9"/>
    </row>
    <row r="47" spans="1:43">
      <c r="A47" s="13">
        <v>18476</v>
      </c>
      <c r="B47" s="3">
        <v>16.799900000000001</v>
      </c>
      <c r="C47" s="24">
        <v>59797</v>
      </c>
      <c r="D47" s="24">
        <v>46187</v>
      </c>
      <c r="E47" s="2">
        <v>4.5</v>
      </c>
      <c r="F47" s="33">
        <v>4.8063000000000002E-2</v>
      </c>
      <c r="G47" s="33">
        <v>3.2510999999999998E-2</v>
      </c>
      <c r="H47" s="25">
        <v>2.61</v>
      </c>
      <c r="I47" s="25">
        <v>3.23</v>
      </c>
      <c r="J47" s="33"/>
      <c r="K47" s="33"/>
      <c r="L47" s="25">
        <v>1.2</v>
      </c>
      <c r="M47" s="33">
        <v>11.3</v>
      </c>
      <c r="N47" s="9"/>
      <c r="O47" s="31">
        <v>127.7</v>
      </c>
      <c r="P47" s="38">
        <v>63.977980000000002</v>
      </c>
      <c r="Q47" s="24"/>
      <c r="R47" s="38"/>
      <c r="T47" s="2"/>
      <c r="U47" s="2"/>
      <c r="V47" s="24"/>
      <c r="W47" s="24"/>
      <c r="X47" s="24"/>
      <c r="Y47" s="24"/>
      <c r="Z47" s="24"/>
      <c r="AA47" s="24"/>
      <c r="AB47" s="24"/>
      <c r="AC47" s="9"/>
      <c r="AD47" s="9"/>
      <c r="AE47" s="9"/>
      <c r="AF47" s="25"/>
      <c r="AH47" s="10"/>
      <c r="AI47" s="25"/>
      <c r="AJ47" s="25"/>
      <c r="AL47" s="9"/>
      <c r="AP47" s="9"/>
      <c r="AQ47" s="9"/>
    </row>
    <row r="48" spans="1:43">
      <c r="A48" s="13">
        <v>18507</v>
      </c>
      <c r="B48" s="3">
        <v>16.692599999999999</v>
      </c>
      <c r="C48" s="24">
        <v>59575</v>
      </c>
      <c r="D48" s="24">
        <v>46442</v>
      </c>
      <c r="E48" s="2">
        <v>4.4000000000000004</v>
      </c>
      <c r="F48" s="33">
        <v>5.9465999999999998E-2</v>
      </c>
      <c r="G48" s="33">
        <v>5.5917000000000001E-2</v>
      </c>
      <c r="H48" s="25">
        <v>2.64</v>
      </c>
      <c r="I48" s="25">
        <v>3.21</v>
      </c>
      <c r="J48" s="33"/>
      <c r="K48" s="33"/>
      <c r="L48" s="25">
        <v>1.3</v>
      </c>
      <c r="M48" s="33">
        <v>11.3</v>
      </c>
      <c r="N48" s="9"/>
      <c r="O48" s="31">
        <v>142.69999999999999</v>
      </c>
      <c r="P48" s="38">
        <v>46.73245</v>
      </c>
      <c r="Q48" s="24"/>
      <c r="R48" s="38"/>
      <c r="T48" s="2"/>
      <c r="U48" s="2"/>
      <c r="V48" s="24"/>
      <c r="W48" s="24"/>
      <c r="X48" s="24"/>
      <c r="Y48" s="24"/>
      <c r="Z48" s="24"/>
      <c r="AA48" s="24"/>
      <c r="AB48" s="24"/>
      <c r="AC48" s="9"/>
      <c r="AD48" s="9"/>
      <c r="AE48" s="9"/>
      <c r="AF48" s="25"/>
      <c r="AH48" s="10"/>
      <c r="AI48" s="25"/>
      <c r="AJ48" s="25"/>
      <c r="AL48" s="9"/>
      <c r="AP48" s="9"/>
      <c r="AQ48" s="9"/>
    </row>
    <row r="49" spans="1:43">
      <c r="A49" s="13">
        <v>18537</v>
      </c>
      <c r="B49" s="3">
        <v>16.799900000000001</v>
      </c>
      <c r="C49" s="24">
        <v>59803</v>
      </c>
      <c r="D49" s="24">
        <v>46712</v>
      </c>
      <c r="E49" s="2">
        <v>4.2</v>
      </c>
      <c r="F49" s="33">
        <v>5.084E-3</v>
      </c>
      <c r="G49" s="33">
        <v>4.1130000000000003E-3</v>
      </c>
      <c r="H49" s="25">
        <v>2.67</v>
      </c>
      <c r="I49" s="25">
        <v>3.22</v>
      </c>
      <c r="J49" s="33"/>
      <c r="K49" s="33"/>
      <c r="L49" s="25">
        <v>1.31</v>
      </c>
      <c r="M49" s="33">
        <v>11.4</v>
      </c>
      <c r="N49" s="9"/>
      <c r="O49" s="31">
        <v>148.1</v>
      </c>
      <c r="P49" s="38">
        <v>70.077280000000002</v>
      </c>
      <c r="Q49" s="24"/>
      <c r="R49" s="38"/>
      <c r="T49" s="2"/>
      <c r="U49" s="2"/>
      <c r="V49" s="24"/>
      <c r="W49" s="24"/>
      <c r="X49" s="24"/>
      <c r="Y49" s="24"/>
      <c r="Z49" s="24"/>
      <c r="AA49" s="24"/>
      <c r="AB49" s="24"/>
      <c r="AC49" s="9"/>
      <c r="AD49" s="9"/>
      <c r="AE49" s="9"/>
      <c r="AF49" s="25"/>
      <c r="AH49" s="10"/>
      <c r="AI49" s="25"/>
      <c r="AJ49" s="25"/>
      <c r="AL49" s="9"/>
      <c r="AP49" s="9"/>
      <c r="AQ49" s="9"/>
    </row>
    <row r="50" spans="1:43">
      <c r="A50" s="13">
        <v>18568</v>
      </c>
      <c r="B50" s="3">
        <v>16.773099999999999</v>
      </c>
      <c r="C50" s="24">
        <v>59697</v>
      </c>
      <c r="D50" s="24">
        <v>46778</v>
      </c>
      <c r="E50" s="2">
        <v>4.2</v>
      </c>
      <c r="F50" s="33">
        <v>2.2429999999999999E-2</v>
      </c>
      <c r="G50" s="33">
        <v>-1.024E-3</v>
      </c>
      <c r="H50" s="25">
        <v>2.67</v>
      </c>
      <c r="I50" s="25">
        <v>3.22</v>
      </c>
      <c r="J50" s="33"/>
      <c r="K50" s="33"/>
      <c r="L50" s="25">
        <v>1.36</v>
      </c>
      <c r="M50" s="33">
        <v>11.4</v>
      </c>
      <c r="N50" s="9"/>
      <c r="O50" s="31">
        <v>158.80000000000001</v>
      </c>
      <c r="P50" s="38">
        <v>68.467609999999993</v>
      </c>
      <c r="Q50" s="24"/>
      <c r="R50" s="38"/>
      <c r="T50" s="2"/>
      <c r="U50" s="2"/>
      <c r="V50" s="24"/>
      <c r="W50" s="24"/>
      <c r="X50" s="24"/>
      <c r="Y50" s="24"/>
      <c r="Z50" s="24"/>
      <c r="AA50" s="24"/>
      <c r="AB50" s="24"/>
      <c r="AC50" s="9"/>
      <c r="AD50" s="9"/>
      <c r="AE50" s="9"/>
      <c r="AF50" s="25"/>
      <c r="AH50" s="10"/>
      <c r="AI50" s="25"/>
      <c r="AJ50" s="25"/>
      <c r="AL50" s="9"/>
      <c r="AP50" s="9"/>
      <c r="AQ50" s="9"/>
    </row>
    <row r="51" spans="1:43">
      <c r="A51" s="13">
        <v>18598</v>
      </c>
      <c r="B51" s="3">
        <v>17.068300000000001</v>
      </c>
      <c r="C51" s="24">
        <v>59429</v>
      </c>
      <c r="D51" s="24">
        <v>46855</v>
      </c>
      <c r="E51" s="2">
        <v>4.3</v>
      </c>
      <c r="F51" s="33">
        <v>5.5425000000000002E-2</v>
      </c>
      <c r="G51" s="33">
        <v>4.6129999999999997E-2</v>
      </c>
      <c r="H51" s="25">
        <v>2.67</v>
      </c>
      <c r="I51" s="25">
        <v>3.2</v>
      </c>
      <c r="J51" s="33"/>
      <c r="K51" s="33"/>
      <c r="L51" s="25">
        <v>1.34</v>
      </c>
      <c r="M51" s="33">
        <v>11.4</v>
      </c>
      <c r="N51" s="9"/>
      <c r="O51" s="31">
        <v>164</v>
      </c>
      <c r="P51" s="38">
        <v>78.719800000000006</v>
      </c>
      <c r="Q51" s="24"/>
      <c r="R51" s="38"/>
      <c r="T51" s="2"/>
      <c r="U51" s="2"/>
      <c r="V51" s="24"/>
      <c r="W51" s="24"/>
      <c r="X51" s="24"/>
      <c r="Y51" s="24"/>
      <c r="Z51" s="24"/>
      <c r="AA51" s="24"/>
      <c r="AB51" s="24"/>
      <c r="AC51" s="9"/>
      <c r="AD51" s="9"/>
      <c r="AE51" s="9"/>
      <c r="AF51" s="25"/>
      <c r="AH51" s="10"/>
      <c r="AI51" s="25"/>
      <c r="AJ51" s="25"/>
      <c r="AL51" s="9"/>
      <c r="AP51" s="9"/>
      <c r="AQ51" s="9"/>
    </row>
    <row r="52" spans="1:43">
      <c r="A52" s="13">
        <v>18629</v>
      </c>
      <c r="B52" s="3">
        <v>17.1219</v>
      </c>
      <c r="C52" s="24">
        <v>59636</v>
      </c>
      <c r="D52" s="24">
        <v>47289</v>
      </c>
      <c r="E52" s="2">
        <v>3.7</v>
      </c>
      <c r="F52" s="33">
        <v>6.5104999999999996E-2</v>
      </c>
      <c r="G52" s="33">
        <v>6.1244E-2</v>
      </c>
      <c r="H52" s="25">
        <v>2.66</v>
      </c>
      <c r="I52" s="25">
        <v>3.17</v>
      </c>
      <c r="J52" s="33"/>
      <c r="K52" s="33"/>
      <c r="L52" s="25">
        <v>1.34</v>
      </c>
      <c r="M52" s="33">
        <v>11.4</v>
      </c>
      <c r="N52" s="9"/>
      <c r="O52" s="31">
        <v>173</v>
      </c>
      <c r="P52" s="38">
        <v>92.834239999999994</v>
      </c>
      <c r="Q52" s="24"/>
      <c r="R52" s="38"/>
      <c r="T52" s="2"/>
      <c r="U52" s="2"/>
      <c r="V52" s="24"/>
      <c r="W52" s="24"/>
      <c r="X52" s="24"/>
      <c r="Y52" s="24"/>
      <c r="Z52" s="24"/>
      <c r="AA52" s="24"/>
      <c r="AB52" s="24"/>
      <c r="AC52" s="9"/>
      <c r="AD52" s="9"/>
      <c r="AE52" s="9"/>
      <c r="AF52" s="25"/>
      <c r="AH52" s="10"/>
      <c r="AI52" s="25"/>
      <c r="AJ52" s="25"/>
      <c r="AL52" s="9"/>
      <c r="AP52" s="9"/>
      <c r="AQ52" s="9"/>
    </row>
    <row r="53" spans="1:43">
      <c r="A53" s="13">
        <v>18660</v>
      </c>
      <c r="B53" s="3">
        <v>17.229299999999999</v>
      </c>
      <c r="C53" s="24">
        <v>59661</v>
      </c>
      <c r="D53" s="24">
        <v>47577</v>
      </c>
      <c r="E53" s="2">
        <v>3.4</v>
      </c>
      <c r="F53" s="33">
        <v>1.4546E-2</v>
      </c>
      <c r="G53" s="33">
        <v>6.4640000000000001E-3</v>
      </c>
      <c r="H53" s="25">
        <v>2.66</v>
      </c>
      <c r="I53" s="25">
        <v>3.16</v>
      </c>
      <c r="J53" s="33"/>
      <c r="K53" s="33"/>
      <c r="L53" s="25">
        <v>1.36</v>
      </c>
      <c r="M53" s="33">
        <v>11.4</v>
      </c>
      <c r="N53" s="9"/>
      <c r="O53" s="31">
        <v>174.3</v>
      </c>
      <c r="P53" s="38">
        <v>81.77261</v>
      </c>
      <c r="Q53" s="24"/>
      <c r="R53" s="38"/>
      <c r="T53" s="2"/>
      <c r="U53" s="2"/>
      <c r="V53" s="24"/>
      <c r="W53" s="24"/>
      <c r="X53" s="24"/>
      <c r="Y53" s="24"/>
      <c r="Z53" s="24"/>
      <c r="AA53" s="24"/>
      <c r="AB53" s="24"/>
      <c r="AC53" s="9"/>
      <c r="AD53" s="9"/>
      <c r="AE53" s="9"/>
      <c r="AF53" s="25"/>
      <c r="AH53" s="10"/>
      <c r="AI53" s="25"/>
      <c r="AJ53" s="25"/>
      <c r="AL53" s="9"/>
      <c r="AP53" s="9"/>
      <c r="AQ53" s="9"/>
    </row>
    <row r="54" spans="1:43">
      <c r="A54" s="13">
        <v>18688</v>
      </c>
      <c r="B54" s="3">
        <v>17.309799999999999</v>
      </c>
      <c r="C54" s="24">
        <v>60401</v>
      </c>
      <c r="D54" s="24">
        <v>47871</v>
      </c>
      <c r="E54" s="2">
        <v>3.4</v>
      </c>
      <c r="F54" s="33">
        <v>-1.7484E-2</v>
      </c>
      <c r="G54" s="33">
        <v>-1.8349000000000001E-2</v>
      </c>
      <c r="H54" s="25">
        <v>2.78</v>
      </c>
      <c r="I54" s="25">
        <v>3.23</v>
      </c>
      <c r="J54" s="33"/>
      <c r="K54" s="33"/>
      <c r="L54" s="25">
        <v>1.4</v>
      </c>
      <c r="M54" s="33">
        <v>11.4</v>
      </c>
      <c r="N54" s="9"/>
      <c r="O54" s="31">
        <v>169.4</v>
      </c>
      <c r="P54" s="38">
        <v>65.16628</v>
      </c>
      <c r="Q54" s="24"/>
      <c r="R54" s="38"/>
      <c r="T54" s="2"/>
      <c r="U54" s="2"/>
      <c r="V54" s="24"/>
      <c r="W54" s="24"/>
      <c r="X54" s="24"/>
      <c r="Y54" s="24"/>
      <c r="Z54" s="24"/>
      <c r="AA54" s="24"/>
      <c r="AB54" s="24"/>
      <c r="AC54" s="9"/>
      <c r="AD54" s="9"/>
      <c r="AE54" s="9"/>
      <c r="AF54" s="25"/>
      <c r="AH54" s="10"/>
      <c r="AI54" s="25"/>
      <c r="AJ54" s="25"/>
      <c r="AL54" s="9"/>
      <c r="AP54" s="9"/>
      <c r="AQ54" s="9"/>
    </row>
    <row r="55" spans="1:43">
      <c r="A55" s="13">
        <v>18719</v>
      </c>
      <c r="B55" s="3">
        <v>17.3367</v>
      </c>
      <c r="C55" s="24">
        <v>59889</v>
      </c>
      <c r="D55" s="24">
        <v>47856</v>
      </c>
      <c r="E55" s="2">
        <v>3.1</v>
      </c>
      <c r="F55" s="33">
        <v>4.9107999999999999E-2</v>
      </c>
      <c r="G55" s="33">
        <v>4.8131E-2</v>
      </c>
      <c r="H55" s="25">
        <v>2.87</v>
      </c>
      <c r="I55" s="25">
        <v>3.35</v>
      </c>
      <c r="J55" s="33"/>
      <c r="K55" s="33"/>
      <c r="L55" s="25">
        <v>1.47</v>
      </c>
      <c r="M55" s="33">
        <v>11.4</v>
      </c>
      <c r="N55" s="9"/>
      <c r="O55" s="31">
        <v>167.1</v>
      </c>
      <c r="P55" s="38">
        <v>79.077910000000003</v>
      </c>
      <c r="Q55" s="24"/>
      <c r="R55" s="38"/>
      <c r="T55" s="2"/>
      <c r="U55" s="2"/>
      <c r="V55" s="24"/>
      <c r="W55" s="24"/>
      <c r="X55" s="24"/>
      <c r="Y55" s="24"/>
      <c r="Z55" s="24"/>
      <c r="AA55" s="24"/>
      <c r="AB55" s="24"/>
      <c r="AC55" s="9"/>
      <c r="AD55" s="9"/>
      <c r="AE55" s="9"/>
      <c r="AF55" s="25"/>
      <c r="AH55" s="10"/>
      <c r="AI55" s="25"/>
      <c r="AJ55" s="25"/>
      <c r="AL55" s="9"/>
      <c r="AP55" s="9"/>
      <c r="AQ55" s="9"/>
    </row>
    <row r="56" spans="1:43">
      <c r="A56" s="13">
        <v>18749</v>
      </c>
      <c r="B56" s="3">
        <v>17.283000000000001</v>
      </c>
      <c r="C56" s="24">
        <v>60188</v>
      </c>
      <c r="D56" s="24">
        <v>47952</v>
      </c>
      <c r="E56" s="2">
        <v>3</v>
      </c>
      <c r="F56" s="33">
        <v>-2.9978999999999999E-2</v>
      </c>
      <c r="G56" s="33">
        <v>-4.0571000000000003E-2</v>
      </c>
      <c r="H56" s="25">
        <v>2.89</v>
      </c>
      <c r="I56" s="25">
        <v>3.4</v>
      </c>
      <c r="J56" s="33"/>
      <c r="K56" s="33"/>
      <c r="L56" s="25">
        <v>1.55</v>
      </c>
      <c r="M56" s="33">
        <v>11.4</v>
      </c>
      <c r="N56" s="9"/>
      <c r="O56" s="31">
        <v>164.7</v>
      </c>
      <c r="P56" s="38">
        <v>96.874399999999994</v>
      </c>
      <c r="Q56" s="24"/>
      <c r="R56" s="38"/>
      <c r="T56" s="2"/>
      <c r="U56" s="2"/>
      <c r="V56" s="24"/>
      <c r="W56" s="24"/>
      <c r="X56" s="24"/>
      <c r="Y56" s="24"/>
      <c r="Z56" s="24"/>
      <c r="AA56" s="24"/>
      <c r="AB56" s="24"/>
      <c r="AC56" s="9"/>
      <c r="AD56" s="9"/>
      <c r="AE56" s="9"/>
      <c r="AF56" s="25"/>
      <c r="AH56" s="10"/>
      <c r="AI56" s="25"/>
      <c r="AJ56" s="25"/>
      <c r="AL56" s="9"/>
      <c r="AP56" s="9"/>
      <c r="AQ56" s="9"/>
    </row>
    <row r="57" spans="1:43">
      <c r="A57" s="13">
        <v>18780</v>
      </c>
      <c r="B57" s="3">
        <v>17.202500000000001</v>
      </c>
      <c r="C57" s="24">
        <v>59620</v>
      </c>
      <c r="D57" s="24">
        <v>48067</v>
      </c>
      <c r="E57" s="2">
        <v>3.2</v>
      </c>
      <c r="F57" s="33">
        <v>-2.5847999999999999E-2</v>
      </c>
      <c r="G57" s="33">
        <v>-2.6022E-2</v>
      </c>
      <c r="H57" s="25">
        <v>2.94</v>
      </c>
      <c r="I57" s="25">
        <v>3.49</v>
      </c>
      <c r="J57" s="33"/>
      <c r="K57" s="33"/>
      <c r="L57" s="25">
        <v>1.45</v>
      </c>
      <c r="M57" s="33">
        <v>11.4</v>
      </c>
      <c r="N57" s="9"/>
      <c r="O57" s="31">
        <v>156.80000000000001</v>
      </c>
      <c r="P57" s="38">
        <v>98.477099999999993</v>
      </c>
      <c r="Q57" s="24"/>
      <c r="R57" s="38"/>
      <c r="T57" s="2"/>
      <c r="U57" s="2"/>
      <c r="V57" s="24"/>
      <c r="W57" s="24"/>
      <c r="X57" s="24"/>
      <c r="Y57" s="24"/>
      <c r="Z57" s="24"/>
      <c r="AA57" s="24"/>
      <c r="AB57" s="24"/>
      <c r="AC57" s="9"/>
      <c r="AD57" s="9"/>
      <c r="AE57" s="9"/>
      <c r="AF57" s="25"/>
      <c r="AH57" s="10"/>
      <c r="AI57" s="25"/>
      <c r="AJ57" s="25"/>
      <c r="AL57" s="9"/>
      <c r="AP57" s="9"/>
      <c r="AQ57" s="9"/>
    </row>
    <row r="58" spans="1:43">
      <c r="A58" s="13">
        <v>18810</v>
      </c>
      <c r="B58" s="3">
        <v>16.934100000000001</v>
      </c>
      <c r="C58" s="24">
        <v>60156</v>
      </c>
      <c r="D58" s="24">
        <v>48061</v>
      </c>
      <c r="E58" s="2">
        <v>3.1</v>
      </c>
      <c r="F58" s="33">
        <v>7.0933999999999997E-2</v>
      </c>
      <c r="G58" s="33">
        <v>6.8701999999999999E-2</v>
      </c>
      <c r="H58" s="25">
        <v>2.94</v>
      </c>
      <c r="I58" s="25">
        <v>3.53</v>
      </c>
      <c r="J58" s="33"/>
      <c r="K58" s="33"/>
      <c r="L58" s="25">
        <v>1.56</v>
      </c>
      <c r="M58" s="33">
        <v>11.4</v>
      </c>
      <c r="N58" s="9"/>
      <c r="O58" s="31">
        <v>139</v>
      </c>
      <c r="P58" s="38">
        <v>101.97709999999999</v>
      </c>
      <c r="Q58" s="24"/>
      <c r="R58" s="38"/>
      <c r="T58" s="2"/>
      <c r="U58" s="2"/>
      <c r="V58" s="24"/>
      <c r="W58" s="24"/>
      <c r="X58" s="24"/>
      <c r="Y58" s="24"/>
      <c r="Z58" s="24"/>
      <c r="AA58" s="24"/>
      <c r="AB58" s="24"/>
      <c r="AC58" s="9"/>
      <c r="AD58" s="9"/>
      <c r="AE58" s="9"/>
      <c r="AF58" s="25"/>
      <c r="AH58" s="10"/>
      <c r="AI58" s="25"/>
      <c r="AJ58" s="25"/>
      <c r="AL58" s="9"/>
      <c r="AP58" s="9"/>
      <c r="AQ58" s="9"/>
    </row>
    <row r="59" spans="1:43">
      <c r="A59" s="13">
        <v>18841</v>
      </c>
      <c r="B59" s="3">
        <v>16.773099999999999</v>
      </c>
      <c r="C59" s="24">
        <v>59994</v>
      </c>
      <c r="D59" s="24">
        <v>48008</v>
      </c>
      <c r="E59" s="2">
        <v>3.1</v>
      </c>
      <c r="F59" s="33">
        <v>5.0220000000000001E-2</v>
      </c>
      <c r="G59" s="33">
        <v>3.9286000000000001E-2</v>
      </c>
      <c r="H59" s="25">
        <v>2.88</v>
      </c>
      <c r="I59" s="25">
        <v>3.5</v>
      </c>
      <c r="J59" s="33"/>
      <c r="K59" s="33"/>
      <c r="L59" s="25">
        <v>1.62</v>
      </c>
      <c r="M59" s="33">
        <v>11.4</v>
      </c>
      <c r="N59" s="9"/>
      <c r="O59" s="31">
        <v>134.1</v>
      </c>
      <c r="P59" s="38">
        <v>58.829250000000002</v>
      </c>
      <c r="Q59" s="24"/>
      <c r="R59" s="38"/>
      <c r="T59" s="2"/>
      <c r="U59" s="2"/>
      <c r="V59" s="24"/>
      <c r="W59" s="24"/>
      <c r="X59" s="24"/>
      <c r="Y59" s="24"/>
      <c r="Z59" s="24"/>
      <c r="AA59" s="24"/>
      <c r="AB59" s="24"/>
      <c r="AC59" s="9"/>
      <c r="AD59" s="9"/>
      <c r="AE59" s="9"/>
      <c r="AF59" s="25"/>
      <c r="AH59" s="10"/>
      <c r="AI59" s="25"/>
      <c r="AJ59" s="25"/>
      <c r="AL59" s="9"/>
      <c r="AP59" s="9"/>
      <c r="AQ59" s="9"/>
    </row>
    <row r="60" spans="1:43">
      <c r="A60" s="13">
        <v>18872</v>
      </c>
      <c r="B60" s="3">
        <v>16.880400000000002</v>
      </c>
      <c r="C60" s="24">
        <v>59713</v>
      </c>
      <c r="D60" s="24">
        <v>47955</v>
      </c>
      <c r="E60" s="2">
        <v>3.3</v>
      </c>
      <c r="F60" s="33">
        <v>2.8679999999999999E-3</v>
      </c>
      <c r="G60" s="33">
        <v>-8.5899999999999995E-4</v>
      </c>
      <c r="H60" s="25">
        <v>2.84</v>
      </c>
      <c r="I60" s="25">
        <v>3.46</v>
      </c>
      <c r="J60" s="33"/>
      <c r="K60" s="33"/>
      <c r="L60" s="25">
        <v>1.63</v>
      </c>
      <c r="M60" s="33">
        <v>11.4</v>
      </c>
      <c r="N60" s="9"/>
      <c r="O60" s="31">
        <v>132.6</v>
      </c>
      <c r="P60" s="38">
        <v>41.602829999999997</v>
      </c>
      <c r="Q60" s="24"/>
      <c r="R60" s="38"/>
      <c r="T60" s="2"/>
      <c r="U60" s="2"/>
      <c r="V60" s="24"/>
      <c r="W60" s="24"/>
      <c r="X60" s="24"/>
      <c r="Y60" s="24"/>
      <c r="Z60" s="24"/>
      <c r="AA60" s="24"/>
      <c r="AB60" s="24"/>
      <c r="AC60" s="9"/>
      <c r="AD60" s="9"/>
      <c r="AE60" s="9"/>
      <c r="AF60" s="25"/>
      <c r="AH60" s="10"/>
      <c r="AI60" s="25"/>
      <c r="AJ60" s="25"/>
      <c r="AL60" s="9"/>
      <c r="AP60" s="9"/>
      <c r="AQ60" s="9"/>
    </row>
    <row r="61" spans="1:43">
      <c r="A61" s="13">
        <v>18902</v>
      </c>
      <c r="B61" s="3">
        <v>16.8536</v>
      </c>
      <c r="C61" s="24">
        <v>60010</v>
      </c>
      <c r="D61" s="24">
        <v>48009</v>
      </c>
      <c r="E61" s="2">
        <v>3.5</v>
      </c>
      <c r="F61" s="33">
        <v>-1.3321E-2</v>
      </c>
      <c r="G61" s="33">
        <v>-1.3757999999999999E-2</v>
      </c>
      <c r="H61" s="25">
        <v>2.89</v>
      </c>
      <c r="I61" s="25">
        <v>3.5</v>
      </c>
      <c r="J61" s="33"/>
      <c r="K61" s="33"/>
      <c r="L61" s="25">
        <v>1.54</v>
      </c>
      <c r="M61" s="33">
        <v>11.4</v>
      </c>
      <c r="N61" s="9"/>
      <c r="O61" s="31">
        <v>135.5</v>
      </c>
      <c r="P61" s="38">
        <v>46.73986</v>
      </c>
      <c r="Q61" s="24"/>
      <c r="R61" s="38"/>
      <c r="T61" s="2"/>
      <c r="U61" s="2"/>
      <c r="V61" s="24"/>
      <c r="W61" s="24"/>
      <c r="X61" s="24"/>
      <c r="Y61" s="24"/>
      <c r="Z61" s="24"/>
      <c r="AA61" s="24"/>
      <c r="AB61" s="24"/>
      <c r="AC61" s="9"/>
      <c r="AD61" s="9"/>
      <c r="AE61" s="9"/>
      <c r="AF61" s="25"/>
      <c r="AH61" s="10"/>
      <c r="AI61" s="25"/>
      <c r="AJ61" s="25"/>
      <c r="AL61" s="9"/>
      <c r="AP61" s="9"/>
      <c r="AQ61" s="9"/>
    </row>
    <row r="62" spans="1:43">
      <c r="A62" s="13">
        <v>18933</v>
      </c>
      <c r="B62" s="3">
        <v>16.9878</v>
      </c>
      <c r="C62" s="24">
        <v>59836</v>
      </c>
      <c r="D62" s="24">
        <v>48149</v>
      </c>
      <c r="E62" s="2">
        <v>3.5</v>
      </c>
      <c r="F62" s="33">
        <v>1.1388000000000001E-2</v>
      </c>
      <c r="G62" s="33">
        <v>-2.6159999999999998E-3</v>
      </c>
      <c r="H62" s="25">
        <v>2.96</v>
      </c>
      <c r="I62" s="25">
        <v>3.56</v>
      </c>
      <c r="J62" s="33"/>
      <c r="K62" s="33"/>
      <c r="L62" s="25">
        <v>1.56</v>
      </c>
      <c r="M62" s="33">
        <v>11.4</v>
      </c>
      <c r="N62" s="9"/>
      <c r="O62" s="31">
        <v>133.5</v>
      </c>
      <c r="P62" s="38">
        <v>46.378340000000001</v>
      </c>
      <c r="Q62" s="24"/>
      <c r="R62" s="38"/>
      <c r="T62" s="2"/>
      <c r="U62" s="2"/>
      <c r="V62" s="24"/>
      <c r="W62" s="24"/>
      <c r="X62" s="24"/>
      <c r="Y62" s="24"/>
      <c r="Z62" s="24"/>
      <c r="AA62" s="24"/>
      <c r="AB62" s="24"/>
      <c r="AC62" s="9"/>
      <c r="AD62" s="9"/>
      <c r="AE62" s="9"/>
      <c r="AF62" s="25"/>
      <c r="AH62" s="10"/>
      <c r="AI62" s="25"/>
      <c r="AJ62" s="25"/>
      <c r="AL62" s="9"/>
      <c r="AP62" s="9"/>
      <c r="AQ62" s="9"/>
    </row>
    <row r="63" spans="1:43">
      <c r="A63" s="13">
        <v>18963</v>
      </c>
      <c r="B63" s="3">
        <v>17.095099999999999</v>
      </c>
      <c r="C63" s="24">
        <v>60497</v>
      </c>
      <c r="D63" s="24">
        <v>48308</v>
      </c>
      <c r="E63" s="2">
        <v>3.1</v>
      </c>
      <c r="F63" s="33">
        <v>4.1814999999999998E-2</v>
      </c>
      <c r="G63" s="33">
        <v>3.8899000000000003E-2</v>
      </c>
      <c r="H63" s="25">
        <v>3.01</v>
      </c>
      <c r="I63" s="25">
        <v>3.61</v>
      </c>
      <c r="J63" s="33"/>
      <c r="K63" s="33"/>
      <c r="L63" s="25">
        <v>1.73</v>
      </c>
      <c r="M63" s="33">
        <v>11.4</v>
      </c>
      <c r="N63" s="9"/>
      <c r="O63" s="31">
        <v>133.30000000000001</v>
      </c>
      <c r="P63" s="38">
        <v>52.986890000000002</v>
      </c>
      <c r="Q63" s="24"/>
      <c r="R63" s="38"/>
      <c r="T63" s="2"/>
      <c r="U63" s="2"/>
      <c r="V63" s="24"/>
      <c r="W63" s="24"/>
      <c r="X63" s="24"/>
      <c r="Y63" s="24"/>
      <c r="Z63" s="24"/>
      <c r="AA63" s="24"/>
      <c r="AB63" s="24"/>
      <c r="AC63" s="9"/>
      <c r="AD63" s="9"/>
      <c r="AE63" s="9"/>
      <c r="AF63" s="25"/>
      <c r="AH63" s="10"/>
      <c r="AI63" s="25"/>
      <c r="AJ63" s="25"/>
      <c r="AL63" s="9"/>
      <c r="AP63" s="9"/>
      <c r="AQ63" s="9"/>
    </row>
    <row r="64" spans="1:43">
      <c r="A64" s="13">
        <v>18994</v>
      </c>
      <c r="B64" s="3">
        <v>17.283000000000001</v>
      </c>
      <c r="C64" s="24">
        <v>60460</v>
      </c>
      <c r="D64" s="24">
        <v>48299</v>
      </c>
      <c r="E64" s="2">
        <v>3.2</v>
      </c>
      <c r="F64" s="33">
        <v>1.7767999999999999E-2</v>
      </c>
      <c r="G64" s="33">
        <v>1.5566E-2</v>
      </c>
      <c r="H64" s="25">
        <v>2.98</v>
      </c>
      <c r="I64" s="25">
        <v>3.59</v>
      </c>
      <c r="J64" s="33"/>
      <c r="K64" s="33"/>
      <c r="L64" s="25">
        <v>1.57</v>
      </c>
      <c r="M64" s="33">
        <v>11.4</v>
      </c>
      <c r="N64" s="9"/>
      <c r="O64" s="31">
        <v>130.30000000000001</v>
      </c>
      <c r="P64" s="38">
        <v>96.633449999999996</v>
      </c>
      <c r="Q64" s="24"/>
      <c r="R64" s="38"/>
      <c r="T64" s="2"/>
      <c r="U64" s="2"/>
      <c r="V64" s="24"/>
      <c r="W64" s="24"/>
      <c r="X64" s="24"/>
      <c r="Y64" s="24"/>
      <c r="Z64" s="24"/>
      <c r="AA64" s="24"/>
      <c r="AB64" s="24"/>
      <c r="AC64" s="9"/>
      <c r="AD64" s="9"/>
      <c r="AE64" s="9"/>
      <c r="AF64" s="25"/>
      <c r="AH64" s="10"/>
      <c r="AI64" s="25"/>
      <c r="AJ64" s="25"/>
      <c r="AL64" s="9"/>
      <c r="AP64" s="9"/>
      <c r="AQ64" s="9"/>
    </row>
    <row r="65" spans="1:43">
      <c r="A65" s="13">
        <v>19025</v>
      </c>
      <c r="B65" s="3">
        <v>17.3903</v>
      </c>
      <c r="C65" s="24">
        <v>60462</v>
      </c>
      <c r="D65" s="24">
        <v>48522</v>
      </c>
      <c r="E65" s="2">
        <v>3.1</v>
      </c>
      <c r="F65" s="33">
        <v>-2.5241E-2</v>
      </c>
      <c r="G65" s="33">
        <v>-3.6454E-2</v>
      </c>
      <c r="H65" s="25">
        <v>2.93</v>
      </c>
      <c r="I65" s="25">
        <v>3.53</v>
      </c>
      <c r="J65" s="33"/>
      <c r="K65" s="33"/>
      <c r="L65" s="25">
        <v>1.54</v>
      </c>
      <c r="M65" s="33">
        <v>11.4</v>
      </c>
      <c r="N65" s="9"/>
      <c r="O65" s="31">
        <v>123.3</v>
      </c>
      <c r="P65" s="38">
        <v>69.842510000000004</v>
      </c>
      <c r="Q65" s="24"/>
      <c r="R65" s="38"/>
      <c r="T65" s="2"/>
      <c r="U65" s="2"/>
      <c r="V65" s="24"/>
      <c r="W65" s="24"/>
      <c r="X65" s="24"/>
      <c r="Y65" s="24"/>
      <c r="Z65" s="24"/>
      <c r="AA65" s="24"/>
      <c r="AB65" s="24"/>
      <c r="AC65" s="9"/>
      <c r="AD65" s="9"/>
      <c r="AE65" s="9"/>
      <c r="AF65" s="25"/>
      <c r="AH65" s="10"/>
      <c r="AI65" s="25"/>
      <c r="AJ65" s="25"/>
      <c r="AL65" s="9"/>
      <c r="AP65" s="9"/>
      <c r="AQ65" s="9"/>
    </row>
    <row r="66" spans="1:43">
      <c r="A66" s="13">
        <v>19054</v>
      </c>
      <c r="B66" s="3">
        <v>17.443999999999999</v>
      </c>
      <c r="C66" s="24">
        <v>59908</v>
      </c>
      <c r="D66" s="24">
        <v>48504</v>
      </c>
      <c r="E66" s="2">
        <v>2.9</v>
      </c>
      <c r="F66" s="33">
        <v>5.2804999999999998E-2</v>
      </c>
      <c r="G66" s="33">
        <v>4.7721E-2</v>
      </c>
      <c r="H66" s="25">
        <v>2.96</v>
      </c>
      <c r="I66" s="25">
        <v>3.51</v>
      </c>
      <c r="J66" s="33"/>
      <c r="K66" s="33"/>
      <c r="L66" s="25">
        <v>1.59</v>
      </c>
      <c r="M66" s="33">
        <v>11.4</v>
      </c>
      <c r="N66" s="9"/>
      <c r="O66" s="31">
        <v>118.4</v>
      </c>
      <c r="P66" s="38">
        <v>54.678249999999998</v>
      </c>
      <c r="Q66" s="24"/>
      <c r="R66" s="38"/>
      <c r="T66" s="2"/>
      <c r="U66" s="2"/>
      <c r="V66" s="24"/>
      <c r="W66" s="24"/>
      <c r="X66" s="24"/>
      <c r="Y66" s="24"/>
      <c r="Z66" s="24"/>
      <c r="AA66" s="24"/>
      <c r="AB66" s="24"/>
      <c r="AC66" s="9"/>
      <c r="AD66" s="9"/>
      <c r="AE66" s="9"/>
      <c r="AF66" s="25"/>
      <c r="AH66" s="10"/>
      <c r="AI66" s="25"/>
      <c r="AJ66" s="25"/>
      <c r="AL66" s="9"/>
      <c r="AP66" s="9"/>
      <c r="AQ66" s="9"/>
    </row>
    <row r="67" spans="1:43">
      <c r="A67" s="13">
        <v>19085</v>
      </c>
      <c r="B67" s="3">
        <v>17.283000000000001</v>
      </c>
      <c r="C67" s="24">
        <v>59909</v>
      </c>
      <c r="D67" s="24">
        <v>48616</v>
      </c>
      <c r="E67" s="2">
        <v>2.9</v>
      </c>
      <c r="F67" s="33">
        <v>-4.1423000000000001E-2</v>
      </c>
      <c r="G67" s="33">
        <v>-4.3085999999999999E-2</v>
      </c>
      <c r="H67" s="25">
        <v>2.93</v>
      </c>
      <c r="I67" s="25">
        <v>3.5</v>
      </c>
      <c r="J67" s="33"/>
      <c r="K67" s="33"/>
      <c r="L67" s="25">
        <v>1.57</v>
      </c>
      <c r="M67" s="33">
        <v>11.4</v>
      </c>
      <c r="N67" s="9"/>
      <c r="O67" s="31">
        <v>115</v>
      </c>
      <c r="P67" s="38">
        <v>53.454360000000001</v>
      </c>
      <c r="Q67" s="24"/>
      <c r="R67" s="38"/>
      <c r="T67" s="2"/>
      <c r="U67" s="2"/>
      <c r="V67" s="24"/>
      <c r="W67" s="24"/>
      <c r="X67" s="24"/>
      <c r="Y67" s="24"/>
      <c r="Z67" s="24"/>
      <c r="AA67" s="24"/>
      <c r="AB67" s="24"/>
      <c r="AC67" s="9"/>
      <c r="AD67" s="9"/>
      <c r="AE67" s="9"/>
      <c r="AF67" s="25"/>
      <c r="AH67" s="10"/>
      <c r="AI67" s="25"/>
      <c r="AJ67" s="25"/>
      <c r="AL67" s="9"/>
      <c r="AP67" s="9"/>
      <c r="AQ67" s="9"/>
    </row>
    <row r="68" spans="1:43">
      <c r="A68" s="13">
        <v>19115</v>
      </c>
      <c r="B68" s="3">
        <v>17.122</v>
      </c>
      <c r="C68" s="24">
        <v>60195</v>
      </c>
      <c r="D68" s="24">
        <v>48645</v>
      </c>
      <c r="E68" s="2">
        <v>3</v>
      </c>
      <c r="F68" s="33">
        <v>3.3697999999999999E-2</v>
      </c>
      <c r="G68" s="33">
        <v>2.3156E-2</v>
      </c>
      <c r="H68" s="25">
        <v>2.93</v>
      </c>
      <c r="I68" s="25">
        <v>3.49</v>
      </c>
      <c r="J68" s="33"/>
      <c r="K68" s="33"/>
      <c r="L68" s="25">
        <v>1.67</v>
      </c>
      <c r="M68" s="33">
        <v>11.4</v>
      </c>
      <c r="N68" s="9"/>
      <c r="O68" s="31">
        <v>113.3</v>
      </c>
      <c r="P68" s="38">
        <v>60.837690000000002</v>
      </c>
      <c r="Q68" s="24"/>
      <c r="R68" s="38"/>
      <c r="T68" s="2"/>
      <c r="U68" s="2"/>
      <c r="V68" s="24"/>
      <c r="W68" s="24"/>
      <c r="X68" s="24"/>
      <c r="Y68" s="24"/>
      <c r="Z68" s="24"/>
      <c r="AA68" s="24"/>
      <c r="AB68" s="24"/>
      <c r="AC68" s="9"/>
      <c r="AD68" s="9"/>
      <c r="AE68" s="9"/>
      <c r="AF68" s="25"/>
      <c r="AH68" s="10"/>
      <c r="AI68" s="25"/>
      <c r="AJ68" s="25"/>
      <c r="AL68" s="9"/>
      <c r="AP68" s="9"/>
      <c r="AQ68" s="9"/>
    </row>
    <row r="69" spans="1:43">
      <c r="A69" s="13">
        <v>19146</v>
      </c>
      <c r="B69" s="3">
        <v>16.960899999999999</v>
      </c>
      <c r="C69" s="24">
        <v>60219</v>
      </c>
      <c r="D69" s="24">
        <v>48286</v>
      </c>
      <c r="E69" s="2">
        <v>3</v>
      </c>
      <c r="F69" s="33">
        <v>4.7832E-2</v>
      </c>
      <c r="G69" s="33">
        <v>4.6101999999999997E-2</v>
      </c>
      <c r="H69" s="25">
        <v>2.94</v>
      </c>
      <c r="I69" s="25">
        <v>3.5</v>
      </c>
      <c r="J69" s="33"/>
      <c r="K69" s="33"/>
      <c r="L69" s="25">
        <v>1.7</v>
      </c>
      <c r="M69" s="33">
        <v>11.4</v>
      </c>
      <c r="N69" s="9"/>
      <c r="O69" s="31">
        <v>110.4</v>
      </c>
      <c r="P69" s="38">
        <v>70.11533</v>
      </c>
      <c r="Q69" s="24"/>
      <c r="R69" s="38"/>
      <c r="T69" s="2"/>
      <c r="U69" s="2"/>
      <c r="V69" s="24"/>
      <c r="W69" s="24"/>
      <c r="X69" s="24"/>
      <c r="Y69" s="24"/>
      <c r="Z69" s="24"/>
      <c r="AA69" s="24"/>
      <c r="AB69" s="24"/>
      <c r="AC69" s="9"/>
      <c r="AD69" s="9"/>
      <c r="AE69" s="9"/>
      <c r="AF69" s="25"/>
      <c r="AH69" s="10"/>
      <c r="AI69" s="25"/>
      <c r="AJ69" s="25"/>
      <c r="AL69" s="9"/>
      <c r="AP69" s="9"/>
      <c r="AQ69" s="9"/>
    </row>
    <row r="70" spans="1:43">
      <c r="A70" s="13">
        <v>19176</v>
      </c>
      <c r="B70" s="3">
        <v>16.692599999999999</v>
      </c>
      <c r="C70" s="24">
        <v>59971</v>
      </c>
      <c r="D70" s="24">
        <v>48144</v>
      </c>
      <c r="E70" s="2">
        <v>3.2</v>
      </c>
      <c r="F70" s="33">
        <v>1.9129E-2</v>
      </c>
      <c r="G70" s="33">
        <v>1.7628000000000001E-2</v>
      </c>
      <c r="H70" s="25">
        <v>2.95</v>
      </c>
      <c r="I70" s="25">
        <v>3.5</v>
      </c>
      <c r="J70" s="33"/>
      <c r="K70" s="33"/>
      <c r="L70" s="25">
        <v>1.81</v>
      </c>
      <c r="M70" s="33">
        <v>11.4</v>
      </c>
      <c r="N70" s="9"/>
      <c r="O70" s="31">
        <v>108.9</v>
      </c>
      <c r="P70" s="38">
        <v>63.794350000000001</v>
      </c>
      <c r="Q70" s="24"/>
      <c r="R70" s="38"/>
      <c r="T70" s="2"/>
      <c r="U70" s="2"/>
      <c r="V70" s="24"/>
      <c r="W70" s="24"/>
      <c r="X70" s="24"/>
      <c r="Y70" s="24"/>
      <c r="Z70" s="24"/>
      <c r="AA70" s="24"/>
      <c r="AB70" s="24"/>
      <c r="AC70" s="9"/>
      <c r="AD70" s="9"/>
      <c r="AE70" s="9"/>
      <c r="AF70" s="25"/>
      <c r="AH70" s="10"/>
      <c r="AI70" s="25"/>
      <c r="AJ70" s="25"/>
      <c r="AL70" s="9"/>
      <c r="AP70" s="9"/>
      <c r="AQ70" s="9"/>
    </row>
    <row r="71" spans="1:43">
      <c r="A71" s="13">
        <v>19207</v>
      </c>
      <c r="B71" s="3">
        <v>17.765999999999998</v>
      </c>
      <c r="C71" s="24">
        <v>59790</v>
      </c>
      <c r="D71" s="24">
        <v>48922</v>
      </c>
      <c r="E71" s="2">
        <v>3.4</v>
      </c>
      <c r="F71" s="33">
        <v>-5.6740000000000002E-3</v>
      </c>
      <c r="G71" s="33">
        <v>-1.4567E-2</v>
      </c>
      <c r="H71" s="25">
        <v>2.94</v>
      </c>
      <c r="I71" s="25">
        <v>3.51</v>
      </c>
      <c r="J71" s="33"/>
      <c r="K71" s="33"/>
      <c r="L71" s="25">
        <v>1.83</v>
      </c>
      <c r="M71" s="33">
        <v>11.4</v>
      </c>
      <c r="N71" s="9"/>
      <c r="O71" s="31">
        <v>108.4</v>
      </c>
      <c r="P71" s="38">
        <v>54.892699999999998</v>
      </c>
      <c r="Q71" s="24"/>
      <c r="R71" s="38"/>
      <c r="T71" s="2"/>
      <c r="U71" s="2"/>
      <c r="V71" s="24"/>
      <c r="W71" s="24"/>
      <c r="X71" s="24"/>
      <c r="Y71" s="24"/>
      <c r="Z71" s="24"/>
      <c r="AA71" s="24"/>
      <c r="AB71" s="24"/>
      <c r="AC71" s="9"/>
      <c r="AD71" s="9"/>
      <c r="AE71" s="9"/>
      <c r="AF71" s="25"/>
      <c r="AH71" s="10"/>
      <c r="AI71" s="25"/>
      <c r="AJ71" s="25"/>
      <c r="AL71" s="9"/>
      <c r="AP71" s="9"/>
      <c r="AQ71" s="9"/>
    </row>
    <row r="72" spans="1:43">
      <c r="A72" s="13">
        <v>19238</v>
      </c>
      <c r="B72" s="3">
        <v>18.4101</v>
      </c>
      <c r="C72" s="24">
        <v>60521</v>
      </c>
      <c r="D72" s="24">
        <v>49319</v>
      </c>
      <c r="E72" s="2">
        <v>3.1</v>
      </c>
      <c r="F72" s="33">
        <v>-1.8085E-2</v>
      </c>
      <c r="G72" s="33">
        <v>-1.9577000000000001E-2</v>
      </c>
      <c r="H72" s="25">
        <v>2.95</v>
      </c>
      <c r="I72" s="25">
        <v>3.52</v>
      </c>
      <c r="J72" s="33"/>
      <c r="K72" s="33"/>
      <c r="L72" s="25">
        <v>1.71</v>
      </c>
      <c r="M72" s="33">
        <v>11.4</v>
      </c>
      <c r="N72" s="9"/>
      <c r="O72" s="31">
        <v>108.8</v>
      </c>
      <c r="P72" s="38">
        <v>52.631909999999998</v>
      </c>
      <c r="Q72" s="24"/>
      <c r="R72" s="38"/>
      <c r="T72" s="2"/>
      <c r="U72" s="2"/>
      <c r="V72" s="24"/>
      <c r="W72" s="24"/>
      <c r="X72" s="24"/>
      <c r="Y72" s="24"/>
      <c r="Z72" s="24"/>
      <c r="AA72" s="24"/>
      <c r="AB72" s="24"/>
      <c r="AC72" s="9"/>
      <c r="AD72" s="9"/>
      <c r="AE72" s="9"/>
      <c r="AF72" s="25"/>
      <c r="AH72" s="10"/>
      <c r="AI72" s="25"/>
      <c r="AJ72" s="25"/>
      <c r="AL72" s="9"/>
      <c r="AP72" s="9"/>
      <c r="AQ72" s="9"/>
    </row>
    <row r="73" spans="1:43">
      <c r="A73" s="13">
        <v>19268</v>
      </c>
      <c r="B73" s="3">
        <v>18.597999999999999</v>
      </c>
      <c r="C73" s="24">
        <v>60132</v>
      </c>
      <c r="D73" s="24">
        <v>49598</v>
      </c>
      <c r="E73" s="2">
        <v>3</v>
      </c>
      <c r="F73" s="33">
        <v>3.2000000000000003E-4</v>
      </c>
      <c r="G73" s="33">
        <v>-8.1499999999999997E-4</v>
      </c>
      <c r="H73" s="25">
        <v>3.01</v>
      </c>
      <c r="I73" s="25">
        <v>3.54</v>
      </c>
      <c r="J73" s="33"/>
      <c r="K73" s="33"/>
      <c r="L73" s="25">
        <v>1.74</v>
      </c>
      <c r="M73" s="33">
        <v>11.4</v>
      </c>
      <c r="N73" s="9"/>
      <c r="O73" s="31">
        <v>105.7</v>
      </c>
      <c r="P73" s="38">
        <v>81.025369999999995</v>
      </c>
      <c r="Q73" s="24"/>
      <c r="R73" s="38"/>
      <c r="T73" s="2"/>
      <c r="U73" s="2"/>
      <c r="V73" s="24"/>
      <c r="W73" s="24"/>
      <c r="X73" s="24"/>
      <c r="Y73" s="24"/>
      <c r="Z73" s="24"/>
      <c r="AA73" s="24"/>
      <c r="AB73" s="24"/>
      <c r="AC73" s="9"/>
      <c r="AD73" s="9"/>
      <c r="AE73" s="9"/>
      <c r="AF73" s="25"/>
      <c r="AH73" s="10"/>
      <c r="AI73" s="25"/>
      <c r="AJ73" s="25"/>
      <c r="AL73" s="9"/>
      <c r="AP73" s="9"/>
      <c r="AQ73" s="9"/>
    </row>
    <row r="74" spans="1:43">
      <c r="A74" s="13">
        <v>19299</v>
      </c>
      <c r="B74" s="3">
        <v>18.973700000000001</v>
      </c>
      <c r="C74" s="24">
        <v>60748</v>
      </c>
      <c r="D74" s="24">
        <v>49816</v>
      </c>
      <c r="E74" s="2">
        <v>2.8</v>
      </c>
      <c r="F74" s="33">
        <v>6.1381999999999999E-2</v>
      </c>
      <c r="G74" s="33">
        <v>4.6493E-2</v>
      </c>
      <c r="H74" s="25">
        <v>2.98</v>
      </c>
      <c r="I74" s="25">
        <v>3.53</v>
      </c>
      <c r="J74" s="33"/>
      <c r="K74" s="33"/>
      <c r="L74" s="25">
        <v>1.85</v>
      </c>
      <c r="M74" s="33">
        <v>11.4</v>
      </c>
      <c r="N74" s="9"/>
      <c r="O74" s="31">
        <v>105.7</v>
      </c>
      <c r="P74" s="38">
        <v>55.635440000000003</v>
      </c>
      <c r="Q74" s="24"/>
      <c r="R74" s="38"/>
      <c r="T74" s="2"/>
      <c r="U74" s="2"/>
      <c r="V74" s="24"/>
      <c r="W74" s="24"/>
      <c r="X74" s="24"/>
      <c r="Y74" s="24"/>
      <c r="Z74" s="24"/>
      <c r="AA74" s="24"/>
      <c r="AB74" s="24"/>
      <c r="AC74" s="9"/>
      <c r="AD74" s="9"/>
      <c r="AE74" s="9"/>
      <c r="AF74" s="25"/>
      <c r="AH74" s="10"/>
      <c r="AI74" s="25"/>
      <c r="AJ74" s="25"/>
      <c r="AL74" s="9"/>
      <c r="AP74" s="9"/>
      <c r="AQ74" s="9"/>
    </row>
    <row r="75" spans="1:43">
      <c r="A75" s="13">
        <v>19329</v>
      </c>
      <c r="B75" s="3">
        <v>19.081</v>
      </c>
      <c r="C75" s="24">
        <v>60954</v>
      </c>
      <c r="D75" s="24">
        <v>50164</v>
      </c>
      <c r="E75" s="2">
        <v>2.7</v>
      </c>
      <c r="F75" s="33">
        <v>3.8214999999999999E-2</v>
      </c>
      <c r="G75" s="33">
        <v>3.5464000000000002E-2</v>
      </c>
      <c r="H75" s="25">
        <v>2.97</v>
      </c>
      <c r="I75" s="25">
        <v>3.51</v>
      </c>
      <c r="J75" s="33"/>
      <c r="K75" s="33"/>
      <c r="L75" s="25">
        <v>2.09</v>
      </c>
      <c r="M75" s="33">
        <v>11.4</v>
      </c>
      <c r="N75" s="9"/>
      <c r="O75" s="31">
        <v>104.8</v>
      </c>
      <c r="P75" s="38">
        <v>40.64246</v>
      </c>
      <c r="Q75" s="24"/>
      <c r="R75" s="38"/>
      <c r="T75" s="2"/>
      <c r="U75" s="2"/>
      <c r="V75" s="24"/>
      <c r="W75" s="24"/>
      <c r="X75" s="24"/>
      <c r="Y75" s="24"/>
      <c r="Z75" s="24"/>
      <c r="AA75" s="24"/>
      <c r="AB75" s="24"/>
      <c r="AC75" s="9"/>
      <c r="AD75" s="9"/>
      <c r="AE75" s="9"/>
      <c r="AF75" s="25"/>
      <c r="AH75" s="10"/>
      <c r="AI75" s="25"/>
      <c r="AJ75" s="25"/>
      <c r="AL75" s="9"/>
      <c r="AP75" s="9"/>
      <c r="AQ75" s="9"/>
    </row>
    <row r="76" spans="1:43">
      <c r="A76" s="13">
        <v>19360</v>
      </c>
      <c r="B76" s="3">
        <v>19.134699999999999</v>
      </c>
      <c r="C76" s="24">
        <v>61600</v>
      </c>
      <c r="D76" s="24">
        <v>50145</v>
      </c>
      <c r="E76" s="2">
        <v>2.9</v>
      </c>
      <c r="F76" s="33">
        <v>-6.2069999999999998E-3</v>
      </c>
      <c r="G76" s="33">
        <v>-7.1510000000000002E-3</v>
      </c>
      <c r="H76" s="25">
        <v>3.02</v>
      </c>
      <c r="I76" s="25">
        <v>3.51</v>
      </c>
      <c r="J76" s="33"/>
      <c r="K76" s="33"/>
      <c r="L76" s="25">
        <v>1.96</v>
      </c>
      <c r="M76" s="33">
        <v>11.4</v>
      </c>
      <c r="N76" s="9"/>
      <c r="O76" s="31">
        <v>102.2</v>
      </c>
      <c r="P76" s="38">
        <v>60.637970000000003</v>
      </c>
      <c r="Q76" s="24"/>
      <c r="R76" s="38"/>
      <c r="T76" s="2"/>
      <c r="U76" s="2"/>
      <c r="V76" s="24"/>
      <c r="W76" s="24"/>
      <c r="X76" s="24"/>
      <c r="Y76" s="24"/>
      <c r="Z76" s="24"/>
      <c r="AA76" s="24"/>
      <c r="AB76" s="24"/>
      <c r="AC76" s="9"/>
      <c r="AD76" s="9"/>
      <c r="AE76" s="9"/>
      <c r="AF76" s="25"/>
      <c r="AH76" s="10"/>
      <c r="AI76" s="25"/>
      <c r="AJ76" s="25"/>
      <c r="AL76" s="9"/>
      <c r="AP76" s="9"/>
      <c r="AQ76" s="9"/>
    </row>
    <row r="77" spans="1:43">
      <c r="A77" s="13">
        <v>19391</v>
      </c>
      <c r="B77" s="3">
        <v>19.242100000000001</v>
      </c>
      <c r="C77" s="24">
        <v>61884</v>
      </c>
      <c r="D77" s="24">
        <v>50339</v>
      </c>
      <c r="E77" s="2">
        <v>2.6</v>
      </c>
      <c r="F77" s="33">
        <v>-7.5399999999999998E-3</v>
      </c>
      <c r="G77" s="33">
        <v>-1.8196E-2</v>
      </c>
      <c r="H77" s="25">
        <v>3.07</v>
      </c>
      <c r="I77" s="25">
        <v>3.53</v>
      </c>
      <c r="J77" s="33"/>
      <c r="K77" s="33"/>
      <c r="L77" s="25">
        <v>1.97</v>
      </c>
      <c r="M77" s="33">
        <v>11.7</v>
      </c>
      <c r="N77" s="9"/>
      <c r="O77" s="31">
        <v>101.5</v>
      </c>
      <c r="P77" s="38">
        <v>60.269919999999999</v>
      </c>
      <c r="Q77" s="24"/>
      <c r="R77" s="38"/>
      <c r="T77" s="2"/>
      <c r="U77" s="2"/>
      <c r="V77" s="24"/>
      <c r="W77" s="24"/>
      <c r="X77" s="24"/>
      <c r="Y77" s="24"/>
      <c r="Z77" s="24"/>
      <c r="AA77" s="24"/>
      <c r="AB77" s="24"/>
      <c r="AC77" s="9"/>
      <c r="AD77" s="9"/>
      <c r="AE77" s="9"/>
      <c r="AF77" s="25"/>
      <c r="AH77" s="10"/>
      <c r="AI77" s="25"/>
      <c r="AJ77" s="25"/>
      <c r="AL77" s="9"/>
      <c r="AP77" s="9"/>
      <c r="AQ77" s="9"/>
    </row>
    <row r="78" spans="1:43">
      <c r="A78" s="13">
        <v>19419</v>
      </c>
      <c r="B78" s="3">
        <v>19.403099999999998</v>
      </c>
      <c r="C78" s="24">
        <v>62010</v>
      </c>
      <c r="D78" s="24">
        <v>50474</v>
      </c>
      <c r="E78" s="2">
        <v>2.6</v>
      </c>
      <c r="F78" s="33">
        <v>-2.2287999999999999E-2</v>
      </c>
      <c r="G78" s="33">
        <v>-2.3552E-2</v>
      </c>
      <c r="H78" s="25">
        <v>3.12</v>
      </c>
      <c r="I78" s="25">
        <v>3.57</v>
      </c>
      <c r="J78" s="33"/>
      <c r="K78" s="33"/>
      <c r="L78" s="25">
        <v>2.0099999999999998</v>
      </c>
      <c r="M78" s="33">
        <v>11.7</v>
      </c>
      <c r="N78" s="9"/>
      <c r="O78" s="31">
        <v>102.6</v>
      </c>
      <c r="P78" s="38">
        <v>77.940280000000001</v>
      </c>
      <c r="Q78" s="24"/>
      <c r="R78" s="38"/>
      <c r="T78" s="2"/>
      <c r="U78" s="2"/>
      <c r="V78" s="24"/>
      <c r="W78" s="24"/>
      <c r="X78" s="24"/>
      <c r="Y78" s="24"/>
      <c r="Z78" s="24"/>
      <c r="AA78" s="24"/>
      <c r="AB78" s="24"/>
      <c r="AC78" s="9"/>
      <c r="AD78" s="9"/>
      <c r="AE78" s="9"/>
      <c r="AF78" s="25"/>
      <c r="AH78" s="10"/>
      <c r="AI78" s="25"/>
      <c r="AJ78" s="25"/>
      <c r="AL78" s="9"/>
      <c r="AP78" s="9"/>
      <c r="AQ78" s="9"/>
    </row>
    <row r="79" spans="1:43">
      <c r="A79" s="13">
        <v>19450</v>
      </c>
      <c r="B79" s="3">
        <v>19.483599999999999</v>
      </c>
      <c r="C79" s="24">
        <v>61444</v>
      </c>
      <c r="D79" s="24">
        <v>50432</v>
      </c>
      <c r="E79" s="2">
        <v>2.7</v>
      </c>
      <c r="F79" s="33">
        <v>-2.5308000000000001E-2</v>
      </c>
      <c r="G79" s="33">
        <v>-2.6492999999999999E-2</v>
      </c>
      <c r="H79" s="25">
        <v>3.23</v>
      </c>
      <c r="I79" s="25">
        <v>3.65</v>
      </c>
      <c r="J79" s="33"/>
      <c r="K79" s="33"/>
      <c r="L79" s="25">
        <v>2.19</v>
      </c>
      <c r="M79" s="33">
        <v>11.7</v>
      </c>
      <c r="N79" s="9"/>
      <c r="O79" s="31">
        <v>97.8</v>
      </c>
      <c r="P79" s="38">
        <v>69.208629999999999</v>
      </c>
      <c r="Q79" s="24"/>
      <c r="R79" s="38"/>
      <c r="T79" s="2"/>
      <c r="U79" s="2"/>
      <c r="V79" s="24"/>
      <c r="W79" s="24"/>
      <c r="X79" s="24"/>
      <c r="Y79" s="24"/>
      <c r="Z79" s="24"/>
      <c r="AA79" s="24"/>
      <c r="AB79" s="24"/>
      <c r="AC79" s="9"/>
      <c r="AD79" s="25"/>
      <c r="AE79" s="25"/>
      <c r="AF79" s="25"/>
      <c r="AH79" s="10"/>
      <c r="AI79" s="25"/>
      <c r="AJ79" s="25"/>
      <c r="AL79" s="9"/>
      <c r="AP79" s="9"/>
      <c r="AQ79" s="9"/>
    </row>
    <row r="80" spans="1:43">
      <c r="A80" s="13">
        <v>19480</v>
      </c>
      <c r="B80" s="3">
        <v>19.591000000000001</v>
      </c>
      <c r="C80" s="24">
        <v>61019</v>
      </c>
      <c r="D80" s="24">
        <v>50491</v>
      </c>
      <c r="E80" s="2">
        <v>2.5</v>
      </c>
      <c r="F80" s="33">
        <v>7.4009999999999996E-3</v>
      </c>
      <c r="G80" s="33">
        <v>-3.2490000000000002E-3</v>
      </c>
      <c r="H80" s="25">
        <v>3.34</v>
      </c>
      <c r="I80" s="25">
        <v>3.78</v>
      </c>
      <c r="J80" s="33"/>
      <c r="K80" s="33"/>
      <c r="L80" s="25">
        <v>2.16</v>
      </c>
      <c r="M80" s="33">
        <v>11.7</v>
      </c>
      <c r="N80" s="9"/>
      <c r="O80" s="31">
        <v>97.1</v>
      </c>
      <c r="P80" s="38">
        <v>65.770259999999993</v>
      </c>
      <c r="Q80" s="24"/>
      <c r="R80" s="38"/>
      <c r="T80" s="2"/>
      <c r="U80" s="2"/>
      <c r="V80" s="24"/>
      <c r="W80" s="24"/>
      <c r="X80" s="24"/>
      <c r="Y80" s="24"/>
      <c r="Z80" s="24"/>
      <c r="AA80" s="24"/>
      <c r="AB80" s="24"/>
      <c r="AC80" s="9"/>
      <c r="AD80" s="25"/>
      <c r="AE80" s="25"/>
      <c r="AF80" s="25"/>
      <c r="AH80" s="10"/>
      <c r="AI80" s="25"/>
      <c r="AJ80" s="25"/>
      <c r="AL80" s="9"/>
      <c r="AP80" s="9"/>
      <c r="AQ80" s="9"/>
    </row>
    <row r="81" spans="1:43">
      <c r="A81" s="13">
        <v>19511</v>
      </c>
      <c r="B81" s="3">
        <v>19.510400000000001</v>
      </c>
      <c r="C81" s="24">
        <v>61456</v>
      </c>
      <c r="D81" s="24">
        <v>50522</v>
      </c>
      <c r="E81" s="2">
        <v>2.5</v>
      </c>
      <c r="F81" s="33">
        <v>-1.4265999999999999E-2</v>
      </c>
      <c r="G81" s="33">
        <v>-1.6299999999999999E-2</v>
      </c>
      <c r="H81" s="25">
        <v>3.4</v>
      </c>
      <c r="I81" s="25">
        <v>3.86</v>
      </c>
      <c r="J81" s="33"/>
      <c r="K81" s="33"/>
      <c r="L81" s="25">
        <v>2.11</v>
      </c>
      <c r="M81" s="33">
        <v>12.7</v>
      </c>
      <c r="N81" s="9"/>
      <c r="O81" s="31">
        <v>96.6</v>
      </c>
      <c r="P81" s="38">
        <v>86.386020000000002</v>
      </c>
      <c r="Q81" s="24"/>
      <c r="R81" s="38"/>
      <c r="T81" s="2"/>
      <c r="U81" s="2"/>
      <c r="V81" s="24"/>
      <c r="W81" s="24"/>
      <c r="X81" s="24"/>
      <c r="Y81" s="24"/>
      <c r="Z81" s="24"/>
      <c r="AA81" s="24"/>
      <c r="AB81" s="24"/>
      <c r="AC81" s="9"/>
      <c r="AD81" s="25"/>
      <c r="AE81" s="25"/>
      <c r="AF81" s="25"/>
      <c r="AH81" s="10"/>
      <c r="AI81" s="25"/>
      <c r="AJ81" s="25"/>
      <c r="AL81" s="9"/>
      <c r="AP81" s="9"/>
      <c r="AQ81" s="9"/>
    </row>
    <row r="82" spans="1:43">
      <c r="A82" s="13">
        <v>19541</v>
      </c>
      <c r="B82" s="3">
        <v>19.751999999999999</v>
      </c>
      <c r="C82" s="24">
        <v>61397</v>
      </c>
      <c r="D82" s="24">
        <v>50536</v>
      </c>
      <c r="E82" s="2">
        <v>2.6</v>
      </c>
      <c r="F82" s="33">
        <v>2.6314000000000001E-2</v>
      </c>
      <c r="G82" s="33">
        <v>2.5269E-2</v>
      </c>
      <c r="H82" s="25">
        <v>3.28</v>
      </c>
      <c r="I82" s="25">
        <v>3.86</v>
      </c>
      <c r="J82" s="33"/>
      <c r="K82" s="33"/>
      <c r="L82" s="25">
        <v>2.04</v>
      </c>
      <c r="M82" s="33">
        <v>12.7</v>
      </c>
      <c r="N82" s="9"/>
      <c r="O82" s="31">
        <v>95.9</v>
      </c>
      <c r="P82" s="38">
        <v>79.439880000000002</v>
      </c>
      <c r="Q82" s="24"/>
      <c r="R82" s="38"/>
      <c r="T82" s="2"/>
      <c r="U82" s="2"/>
      <c r="V82" s="24"/>
      <c r="W82" s="24"/>
      <c r="X82" s="24"/>
      <c r="Y82" s="24"/>
      <c r="Z82" s="24"/>
      <c r="AA82" s="24"/>
      <c r="AB82" s="24"/>
      <c r="AC82" s="9"/>
      <c r="AD82" s="25"/>
      <c r="AE82" s="25"/>
      <c r="AF82" s="25"/>
      <c r="AH82" s="10"/>
      <c r="AI82" s="25"/>
      <c r="AJ82" s="25"/>
      <c r="AL82" s="9"/>
      <c r="AP82" s="9"/>
      <c r="AQ82" s="9"/>
    </row>
    <row r="83" spans="1:43">
      <c r="A83" s="13">
        <v>19572</v>
      </c>
      <c r="B83" s="3">
        <v>19.644600000000001</v>
      </c>
      <c r="C83" s="24">
        <v>61151</v>
      </c>
      <c r="D83" s="24">
        <v>50487</v>
      </c>
      <c r="E83" s="2">
        <v>2.7</v>
      </c>
      <c r="F83" s="33">
        <v>-5.0101E-2</v>
      </c>
      <c r="G83" s="33">
        <v>-5.7778000000000003E-2</v>
      </c>
      <c r="H83" s="25">
        <v>3.24</v>
      </c>
      <c r="I83" s="25">
        <v>3.85</v>
      </c>
      <c r="J83" s="33"/>
      <c r="K83" s="33"/>
      <c r="L83" s="25">
        <v>2.04</v>
      </c>
      <c r="M83" s="33">
        <v>12.7</v>
      </c>
      <c r="N83" s="9"/>
      <c r="O83" s="31">
        <v>95.4</v>
      </c>
      <c r="P83" s="38">
        <v>75.426640000000006</v>
      </c>
      <c r="Q83" s="24"/>
      <c r="R83" s="38"/>
      <c r="T83" s="2"/>
      <c r="U83" s="2"/>
      <c r="V83" s="24"/>
      <c r="W83" s="24"/>
      <c r="X83" s="24"/>
      <c r="Y83" s="24"/>
      <c r="Z83" s="24"/>
      <c r="AA83" s="24"/>
      <c r="AB83" s="24"/>
      <c r="AC83" s="9"/>
      <c r="AD83" s="25"/>
      <c r="AE83" s="25"/>
      <c r="AF83" s="25"/>
      <c r="AH83" s="10"/>
      <c r="AI83" s="25"/>
      <c r="AJ83" s="25"/>
      <c r="AL83" s="9"/>
      <c r="AP83" s="9"/>
      <c r="AQ83" s="9"/>
    </row>
    <row r="84" spans="1:43">
      <c r="A84" s="13">
        <v>19603</v>
      </c>
      <c r="B84" s="3">
        <v>19.242100000000001</v>
      </c>
      <c r="C84" s="24">
        <v>60906</v>
      </c>
      <c r="D84" s="24">
        <v>50365</v>
      </c>
      <c r="E84" s="2">
        <v>2.9</v>
      </c>
      <c r="F84" s="33">
        <v>2.1870000000000001E-3</v>
      </c>
      <c r="G84" s="33">
        <v>1.286E-3</v>
      </c>
      <c r="H84" s="25">
        <v>3.29</v>
      </c>
      <c r="I84" s="25">
        <v>3.88</v>
      </c>
      <c r="J84" s="33"/>
      <c r="K84" s="33"/>
      <c r="L84" s="25">
        <v>1.79</v>
      </c>
      <c r="M84" s="33">
        <v>12.7</v>
      </c>
      <c r="N84" s="9"/>
      <c r="O84" s="31">
        <v>93.3</v>
      </c>
      <c r="P84" s="38">
        <v>59.779130000000002</v>
      </c>
      <c r="Q84" s="24"/>
      <c r="R84" s="38"/>
      <c r="T84" s="2"/>
      <c r="U84" s="2"/>
      <c r="V84" s="24"/>
      <c r="W84" s="24"/>
      <c r="X84" s="24"/>
      <c r="Y84" s="24"/>
      <c r="Z84" s="24"/>
      <c r="AA84" s="24"/>
      <c r="AB84" s="24"/>
      <c r="AC84" s="9"/>
      <c r="AD84" s="25"/>
      <c r="AE84" s="25"/>
      <c r="AF84" s="25"/>
      <c r="AH84" s="10"/>
      <c r="AI84" s="25"/>
      <c r="AJ84" s="25"/>
      <c r="AL84" s="9"/>
      <c r="AP84" s="9"/>
      <c r="AQ84" s="9"/>
    </row>
    <row r="85" spans="1:43">
      <c r="A85" s="13">
        <v>19633</v>
      </c>
      <c r="B85" s="3">
        <v>19.081099999999999</v>
      </c>
      <c r="C85" s="24">
        <v>60893</v>
      </c>
      <c r="D85" s="24">
        <v>50242</v>
      </c>
      <c r="E85" s="2">
        <v>3.1</v>
      </c>
      <c r="F85" s="33">
        <v>5.1046000000000001E-2</v>
      </c>
      <c r="G85" s="33">
        <v>5.0964000000000002E-2</v>
      </c>
      <c r="H85" s="25">
        <v>3.16</v>
      </c>
      <c r="I85" s="25">
        <v>3.82</v>
      </c>
      <c r="J85" s="33"/>
      <c r="K85" s="33"/>
      <c r="L85" s="25">
        <v>1.38</v>
      </c>
      <c r="M85" s="33">
        <v>12.6</v>
      </c>
      <c r="N85" s="9"/>
      <c r="O85" s="31">
        <v>90.4</v>
      </c>
      <c r="P85" s="38">
        <v>57.80659</v>
      </c>
      <c r="Q85" s="24"/>
      <c r="R85" s="38"/>
      <c r="T85" s="2"/>
      <c r="U85" s="2"/>
      <c r="V85" s="24"/>
      <c r="W85" s="24"/>
      <c r="X85" s="24"/>
      <c r="Y85" s="24"/>
      <c r="Z85" s="24"/>
      <c r="AA85" s="24"/>
      <c r="AB85" s="24"/>
      <c r="AC85" s="9"/>
      <c r="AD85" s="25"/>
      <c r="AE85" s="25"/>
      <c r="AF85" s="25"/>
      <c r="AH85" s="10"/>
      <c r="AI85" s="25"/>
      <c r="AJ85" s="25"/>
      <c r="AL85" s="9"/>
      <c r="AP85" s="9"/>
      <c r="AQ85" s="9"/>
    </row>
    <row r="86" spans="1:43">
      <c r="A86" s="13">
        <v>19664</v>
      </c>
      <c r="B86" s="3">
        <v>18.6248</v>
      </c>
      <c r="C86" s="24">
        <v>60738</v>
      </c>
      <c r="D86" s="24">
        <v>49906</v>
      </c>
      <c r="E86" s="2">
        <v>3.5</v>
      </c>
      <c r="F86" s="33">
        <v>2.3764E-2</v>
      </c>
      <c r="G86" s="33">
        <v>8.9650000000000007E-3</v>
      </c>
      <c r="H86" s="25">
        <v>3.11</v>
      </c>
      <c r="I86" s="25">
        <v>3.75</v>
      </c>
      <c r="J86" s="33"/>
      <c r="K86" s="33"/>
      <c r="L86" s="25">
        <v>1.44</v>
      </c>
      <c r="M86" s="33">
        <v>12.6</v>
      </c>
      <c r="N86" s="9"/>
      <c r="O86" s="31">
        <v>92.8</v>
      </c>
      <c r="P86" s="38">
        <v>82.885310000000004</v>
      </c>
      <c r="Q86" s="24"/>
      <c r="R86" s="38"/>
      <c r="T86" s="2"/>
      <c r="U86" s="2"/>
      <c r="V86" s="24"/>
      <c r="W86" s="24"/>
      <c r="X86" s="24"/>
      <c r="Y86" s="24"/>
      <c r="Z86" s="24"/>
      <c r="AA86" s="24"/>
      <c r="AB86" s="24"/>
      <c r="AC86" s="9"/>
      <c r="AD86" s="25"/>
      <c r="AE86" s="25"/>
      <c r="AF86" s="25"/>
      <c r="AH86" s="10"/>
      <c r="AI86" s="25"/>
      <c r="AJ86" s="25"/>
      <c r="AL86" s="9"/>
      <c r="AP86" s="9"/>
      <c r="AQ86" s="9"/>
    </row>
    <row r="87" spans="1:43">
      <c r="A87" s="13">
        <v>19694</v>
      </c>
      <c r="B87" s="3">
        <v>18.168600000000001</v>
      </c>
      <c r="C87" s="24">
        <v>59977</v>
      </c>
      <c r="D87" s="24">
        <v>49702</v>
      </c>
      <c r="E87" s="2">
        <v>4.5</v>
      </c>
      <c r="F87" s="33">
        <v>1.7129999999999999E-3</v>
      </c>
      <c r="G87" s="33">
        <v>2.019E-3</v>
      </c>
      <c r="H87" s="25">
        <v>3.13</v>
      </c>
      <c r="I87" s="25">
        <v>3.74</v>
      </c>
      <c r="J87" s="33"/>
      <c r="K87" s="33"/>
      <c r="L87" s="25">
        <v>1.6</v>
      </c>
      <c r="M87" s="33">
        <v>12.6</v>
      </c>
      <c r="N87" s="9"/>
      <c r="O87" s="31">
        <v>92.7</v>
      </c>
      <c r="P87" s="38">
        <v>57.222610000000003</v>
      </c>
      <c r="Q87" s="24"/>
      <c r="R87" s="38"/>
      <c r="T87" s="2"/>
      <c r="U87" s="2"/>
      <c r="V87" s="24"/>
      <c r="W87" s="24"/>
      <c r="X87" s="24"/>
      <c r="Y87" s="24"/>
      <c r="Z87" s="24"/>
      <c r="AA87" s="24"/>
      <c r="AB87" s="24"/>
      <c r="AC87" s="9"/>
      <c r="AD87" s="25"/>
      <c r="AE87" s="25"/>
      <c r="AF87" s="25"/>
      <c r="AH87" s="10"/>
      <c r="AI87" s="25"/>
      <c r="AJ87" s="25"/>
      <c r="AL87" s="9"/>
      <c r="AP87" s="9"/>
      <c r="AQ87" s="9"/>
    </row>
    <row r="88" spans="1:43">
      <c r="A88" s="13">
        <v>19725</v>
      </c>
      <c r="B88" s="3">
        <v>18.034400000000002</v>
      </c>
      <c r="C88" s="24">
        <v>60024</v>
      </c>
      <c r="D88" s="24">
        <v>49467</v>
      </c>
      <c r="E88" s="2">
        <v>4.9000000000000004</v>
      </c>
      <c r="F88" s="33">
        <v>5.3485999999999999E-2</v>
      </c>
      <c r="G88" s="33">
        <v>5.1188999999999998E-2</v>
      </c>
      <c r="H88" s="25">
        <v>3.06</v>
      </c>
      <c r="I88" s="25">
        <v>3.71</v>
      </c>
      <c r="J88" s="33"/>
      <c r="K88" s="33"/>
      <c r="L88" s="25">
        <v>1.18</v>
      </c>
      <c r="M88" s="33">
        <v>12.6</v>
      </c>
      <c r="N88" s="9"/>
      <c r="O88" s="31">
        <v>91.6</v>
      </c>
      <c r="P88" s="38">
        <v>134.50989999999999</v>
      </c>
      <c r="Q88" s="24"/>
      <c r="R88" s="38"/>
      <c r="T88" s="2"/>
      <c r="U88" s="2"/>
      <c r="V88" s="24"/>
      <c r="W88" s="24"/>
      <c r="X88" s="24"/>
      <c r="Y88" s="24"/>
      <c r="Z88" s="24"/>
      <c r="AA88" s="24"/>
      <c r="AB88" s="24"/>
      <c r="AC88" s="9"/>
      <c r="AD88" s="25"/>
      <c r="AE88" s="25"/>
      <c r="AF88" s="25"/>
      <c r="AH88" s="10"/>
      <c r="AI88" s="25"/>
      <c r="AJ88" s="25"/>
      <c r="AL88" s="9"/>
      <c r="AP88" s="9"/>
      <c r="AQ88" s="9"/>
    </row>
    <row r="89" spans="1:43">
      <c r="A89" s="13">
        <v>19756</v>
      </c>
      <c r="B89" s="3">
        <v>18.088100000000001</v>
      </c>
      <c r="C89" s="24">
        <v>60663</v>
      </c>
      <c r="D89" s="24">
        <v>49381</v>
      </c>
      <c r="E89" s="2">
        <v>5.2</v>
      </c>
      <c r="F89" s="33">
        <v>1.2916E-2</v>
      </c>
      <c r="G89" s="33">
        <v>2.6840000000000002E-3</v>
      </c>
      <c r="H89" s="25">
        <v>2.95</v>
      </c>
      <c r="I89" s="25">
        <v>3.61</v>
      </c>
      <c r="J89" s="33"/>
      <c r="K89" s="33"/>
      <c r="L89" s="25">
        <v>0.97</v>
      </c>
      <c r="M89" s="33">
        <v>12.6</v>
      </c>
      <c r="N89" s="9"/>
      <c r="O89" s="31">
        <v>91</v>
      </c>
      <c r="P89" s="38">
        <v>92.304820000000007</v>
      </c>
      <c r="Q89" s="24"/>
      <c r="R89" s="38"/>
      <c r="T89" s="2"/>
      <c r="U89" s="2"/>
      <c r="V89" s="24"/>
      <c r="W89" s="24"/>
      <c r="X89" s="24"/>
      <c r="Y89" s="24"/>
      <c r="Z89" s="24"/>
      <c r="AA89" s="24"/>
      <c r="AB89" s="24"/>
      <c r="AC89" s="9"/>
      <c r="AD89" s="25"/>
      <c r="AE89" s="25"/>
      <c r="AF89" s="25"/>
      <c r="AH89" s="10"/>
      <c r="AI89" s="25"/>
      <c r="AJ89" s="25"/>
      <c r="AL89" s="9"/>
      <c r="AP89" s="9"/>
      <c r="AQ89" s="9"/>
    </row>
    <row r="90" spans="1:43">
      <c r="A90" s="13">
        <v>19784</v>
      </c>
      <c r="B90" s="3">
        <v>17.980699999999999</v>
      </c>
      <c r="C90" s="24">
        <v>60186</v>
      </c>
      <c r="D90" s="24">
        <v>49158</v>
      </c>
      <c r="E90" s="2">
        <v>5.7</v>
      </c>
      <c r="F90" s="33">
        <v>3.0530000000000002E-2</v>
      </c>
      <c r="G90" s="33">
        <v>3.0210000000000001E-2</v>
      </c>
      <c r="H90" s="25">
        <v>2.86</v>
      </c>
      <c r="I90" s="25">
        <v>3.51</v>
      </c>
      <c r="J90" s="33"/>
      <c r="K90" s="33"/>
      <c r="L90" s="25">
        <v>1.03</v>
      </c>
      <c r="M90" s="33">
        <v>12.6</v>
      </c>
      <c r="N90" s="9"/>
      <c r="O90" s="31">
        <v>92.3</v>
      </c>
      <c r="P90" s="38">
        <v>82.641239999999996</v>
      </c>
      <c r="Q90" s="24"/>
      <c r="R90" s="38"/>
      <c r="T90" s="2"/>
      <c r="U90" s="2"/>
      <c r="V90" s="24"/>
      <c r="W90" s="24"/>
      <c r="X90" s="24"/>
      <c r="Y90" s="24"/>
      <c r="Z90" s="24"/>
      <c r="AA90" s="24"/>
      <c r="AB90" s="24"/>
      <c r="AC90" s="9"/>
      <c r="AD90" s="25"/>
      <c r="AE90" s="25"/>
      <c r="AF90" s="25"/>
      <c r="AH90" s="10"/>
      <c r="AI90" s="25"/>
      <c r="AJ90" s="25"/>
      <c r="AL90" s="9"/>
      <c r="AP90" s="9"/>
      <c r="AQ90" s="9"/>
    </row>
    <row r="91" spans="1:43">
      <c r="A91" s="13">
        <v>19815</v>
      </c>
      <c r="B91" s="3">
        <v>17.8734</v>
      </c>
      <c r="C91" s="24">
        <v>60185</v>
      </c>
      <c r="D91" s="24">
        <v>49177</v>
      </c>
      <c r="E91" s="2">
        <v>5.9</v>
      </c>
      <c r="F91" s="33">
        <v>4.8357999999999998E-2</v>
      </c>
      <c r="G91" s="33">
        <v>4.8998E-2</v>
      </c>
      <c r="H91" s="25">
        <v>2.85</v>
      </c>
      <c r="I91" s="25">
        <v>3.47</v>
      </c>
      <c r="J91" s="33"/>
      <c r="K91" s="33"/>
      <c r="L91" s="25">
        <v>0.97</v>
      </c>
      <c r="M91" s="33">
        <v>12.6</v>
      </c>
      <c r="N91" s="9"/>
      <c r="O91" s="31">
        <v>95.7</v>
      </c>
      <c r="P91" s="38">
        <v>45.617260000000002</v>
      </c>
      <c r="Q91" s="24"/>
      <c r="R91" s="38"/>
      <c r="T91" s="2"/>
      <c r="U91" s="2"/>
      <c r="V91" s="24"/>
      <c r="W91" s="24"/>
      <c r="X91" s="24"/>
      <c r="Y91" s="24"/>
      <c r="Z91" s="24"/>
      <c r="AA91" s="24"/>
      <c r="AB91" s="24"/>
      <c r="AC91" s="9"/>
      <c r="AD91" s="25"/>
      <c r="AE91" s="25"/>
      <c r="AF91" s="25"/>
      <c r="AH91" s="10"/>
      <c r="AI91" s="25"/>
      <c r="AJ91" s="25"/>
      <c r="AL91" s="9"/>
      <c r="AP91" s="9"/>
      <c r="AQ91" s="9"/>
    </row>
    <row r="92" spans="1:43">
      <c r="A92" s="13">
        <v>19845</v>
      </c>
      <c r="B92" s="3">
        <v>17.980699999999999</v>
      </c>
      <c r="C92" s="24">
        <v>59908</v>
      </c>
      <c r="D92" s="24">
        <v>48965</v>
      </c>
      <c r="E92" s="2">
        <v>5.9</v>
      </c>
      <c r="F92" s="33">
        <v>4.2777000000000003E-2</v>
      </c>
      <c r="G92" s="33">
        <v>3.2909000000000001E-2</v>
      </c>
      <c r="H92" s="25">
        <v>2.88</v>
      </c>
      <c r="I92" s="25">
        <v>3.47</v>
      </c>
      <c r="J92" s="33"/>
      <c r="K92" s="33"/>
      <c r="L92" s="25">
        <v>0.76</v>
      </c>
      <c r="M92" s="33">
        <v>12.6</v>
      </c>
      <c r="N92" s="9"/>
      <c r="O92" s="31">
        <v>96.7</v>
      </c>
      <c r="P92" s="38">
        <v>33.372480000000003</v>
      </c>
      <c r="Q92" s="24"/>
      <c r="R92" s="38"/>
      <c r="T92" s="2"/>
      <c r="U92" s="2"/>
      <c r="V92" s="24"/>
      <c r="W92" s="24"/>
      <c r="X92" s="24"/>
      <c r="Y92" s="24"/>
      <c r="Z92" s="24"/>
      <c r="AA92" s="24"/>
      <c r="AB92" s="24"/>
      <c r="AC92" s="9"/>
      <c r="AD92" s="25"/>
      <c r="AE92" s="25"/>
      <c r="AF92" s="25"/>
      <c r="AH92" s="10"/>
      <c r="AI92" s="25"/>
      <c r="AJ92" s="25"/>
      <c r="AL92" s="9"/>
      <c r="AP92" s="9"/>
      <c r="AQ92" s="9"/>
    </row>
    <row r="93" spans="1:43">
      <c r="A93" s="13">
        <v>19876</v>
      </c>
      <c r="B93" s="3">
        <v>18.034400000000002</v>
      </c>
      <c r="C93" s="24">
        <v>59792</v>
      </c>
      <c r="D93" s="24">
        <v>48896</v>
      </c>
      <c r="E93" s="2">
        <v>5.6</v>
      </c>
      <c r="F93" s="33">
        <v>2.467E-3</v>
      </c>
      <c r="G93" s="33">
        <v>6.8499999999999995E-4</v>
      </c>
      <c r="H93" s="25">
        <v>2.9</v>
      </c>
      <c r="I93" s="25">
        <v>3.49</v>
      </c>
      <c r="J93" s="33"/>
      <c r="K93" s="33"/>
      <c r="L93" s="25">
        <v>0.64</v>
      </c>
      <c r="M93" s="33">
        <v>12.6</v>
      </c>
      <c r="N93" s="9"/>
      <c r="O93" s="31">
        <v>97.4</v>
      </c>
      <c r="P93" s="38">
        <v>64.782820000000001</v>
      </c>
      <c r="Q93" s="24"/>
      <c r="R93" s="38"/>
      <c r="T93" s="2"/>
      <c r="U93" s="2"/>
      <c r="V93" s="24"/>
      <c r="W93" s="24"/>
      <c r="X93" s="24"/>
      <c r="Y93" s="24"/>
      <c r="Z93" s="24"/>
      <c r="AA93" s="24"/>
      <c r="AB93" s="24"/>
      <c r="AC93" s="9"/>
      <c r="AD93" s="25"/>
      <c r="AE93" s="25"/>
      <c r="AF93" s="25"/>
      <c r="AH93" s="10"/>
      <c r="AI93" s="25"/>
      <c r="AJ93" s="25"/>
      <c r="AL93" s="9"/>
      <c r="AP93" s="9"/>
      <c r="AQ93" s="9"/>
    </row>
    <row r="94" spans="1:43">
      <c r="A94" s="13">
        <v>19906</v>
      </c>
      <c r="B94" s="3">
        <v>18.061199999999999</v>
      </c>
      <c r="C94" s="24">
        <v>59643</v>
      </c>
      <c r="D94" s="24">
        <v>48834</v>
      </c>
      <c r="E94" s="2">
        <v>5.8</v>
      </c>
      <c r="F94" s="33">
        <v>5.8701000000000003E-2</v>
      </c>
      <c r="G94" s="33">
        <v>5.7172000000000001E-2</v>
      </c>
      <c r="H94" s="25">
        <v>2.89</v>
      </c>
      <c r="I94" s="25">
        <v>3.5</v>
      </c>
      <c r="J94" s="25">
        <v>0.8</v>
      </c>
      <c r="K94" s="33"/>
      <c r="L94" s="25">
        <v>0.72</v>
      </c>
      <c r="M94" s="33">
        <v>12.6</v>
      </c>
      <c r="N94" s="9"/>
      <c r="O94" s="31">
        <v>96.3</v>
      </c>
      <c r="P94" s="38">
        <v>89.111639999999994</v>
      </c>
      <c r="Q94" s="24"/>
      <c r="R94" s="38"/>
      <c r="T94" s="2"/>
      <c r="U94" s="2"/>
      <c r="V94" s="24"/>
      <c r="W94" s="24"/>
      <c r="X94" s="24"/>
      <c r="Y94" s="24"/>
      <c r="Z94" s="24"/>
      <c r="AA94" s="24"/>
      <c r="AB94" s="24"/>
      <c r="AC94" s="25"/>
      <c r="AD94" s="25"/>
      <c r="AE94" s="25"/>
      <c r="AF94" s="25"/>
      <c r="AH94" s="10"/>
      <c r="AI94" s="25"/>
      <c r="AJ94" s="25"/>
      <c r="AL94" s="9"/>
      <c r="AP94" s="9"/>
      <c r="AQ94" s="9"/>
    </row>
    <row r="95" spans="1:43">
      <c r="A95" s="13">
        <v>19937</v>
      </c>
      <c r="B95" s="3">
        <v>18.034400000000002</v>
      </c>
      <c r="C95" s="24">
        <v>59853</v>
      </c>
      <c r="D95" s="24">
        <v>48825</v>
      </c>
      <c r="E95" s="2">
        <v>6</v>
      </c>
      <c r="F95" s="33">
        <v>-2.5894E-2</v>
      </c>
      <c r="G95" s="33">
        <v>-3.4002999999999999E-2</v>
      </c>
      <c r="H95" s="25">
        <v>2.87</v>
      </c>
      <c r="I95" s="25">
        <v>3.49</v>
      </c>
      <c r="J95" s="25">
        <v>1.22</v>
      </c>
      <c r="K95" s="33"/>
      <c r="L95" s="25">
        <v>0.92</v>
      </c>
      <c r="M95" s="33">
        <v>12.6</v>
      </c>
      <c r="N95" s="9"/>
      <c r="O95" s="31">
        <v>95.9</v>
      </c>
      <c r="P95" s="38">
        <v>49.03098</v>
      </c>
      <c r="Q95" s="24"/>
      <c r="R95" s="38"/>
      <c r="T95" s="2"/>
      <c r="U95" s="2"/>
      <c r="V95" s="24"/>
      <c r="W95" s="24"/>
      <c r="X95" s="24"/>
      <c r="Y95" s="24"/>
      <c r="Z95" s="24"/>
      <c r="AA95" s="24"/>
      <c r="AB95" s="24"/>
      <c r="AC95" s="25"/>
      <c r="AD95" s="25"/>
      <c r="AE95" s="25"/>
      <c r="AF95" s="25"/>
      <c r="AH95" s="10"/>
      <c r="AI95" s="25"/>
      <c r="AJ95" s="25"/>
      <c r="AL95" s="9"/>
      <c r="AP95" s="9"/>
      <c r="AQ95" s="9"/>
    </row>
    <row r="96" spans="1:43">
      <c r="A96" s="13">
        <v>19968</v>
      </c>
      <c r="B96" s="3">
        <v>18.061299999999999</v>
      </c>
      <c r="C96" s="24">
        <v>60282</v>
      </c>
      <c r="D96" s="24">
        <v>48881</v>
      </c>
      <c r="E96" s="2">
        <v>6.1</v>
      </c>
      <c r="F96" s="33">
        <v>8.2500000000000004E-2</v>
      </c>
      <c r="G96" s="33">
        <v>8.3138000000000004E-2</v>
      </c>
      <c r="H96" s="25">
        <v>2.89</v>
      </c>
      <c r="I96" s="25">
        <v>3.47</v>
      </c>
      <c r="J96" s="25">
        <v>1.06</v>
      </c>
      <c r="K96" s="33"/>
      <c r="L96" s="25">
        <v>1.01</v>
      </c>
      <c r="M96" s="33">
        <v>12.6</v>
      </c>
      <c r="N96" s="9"/>
      <c r="O96" s="31">
        <v>97.3</v>
      </c>
      <c r="P96" s="38">
        <v>60.234270000000002</v>
      </c>
      <c r="Q96" s="24"/>
      <c r="R96" s="38"/>
      <c r="T96" s="2"/>
      <c r="U96" s="2"/>
      <c r="V96" s="24"/>
      <c r="W96" s="24"/>
      <c r="X96" s="24"/>
      <c r="Y96" s="24"/>
      <c r="Z96" s="24"/>
      <c r="AA96" s="24"/>
      <c r="AB96" s="24"/>
      <c r="AC96" s="25"/>
      <c r="AD96" s="25"/>
      <c r="AE96" s="25"/>
      <c r="AF96" s="25"/>
      <c r="AH96" s="10"/>
      <c r="AI96" s="25"/>
      <c r="AJ96" s="25"/>
      <c r="AL96" s="9"/>
      <c r="AP96" s="9"/>
      <c r="AQ96" s="9"/>
    </row>
    <row r="97" spans="1:43">
      <c r="A97" s="13">
        <v>19998</v>
      </c>
      <c r="B97" s="3">
        <v>18.276</v>
      </c>
      <c r="C97" s="24">
        <v>60270</v>
      </c>
      <c r="D97" s="24">
        <v>48944</v>
      </c>
      <c r="E97" s="2">
        <v>5.7</v>
      </c>
      <c r="F97" s="33">
        <v>-1.7867000000000001E-2</v>
      </c>
      <c r="G97" s="33">
        <v>-1.9498999999999999E-2</v>
      </c>
      <c r="H97" s="25">
        <v>2.87</v>
      </c>
      <c r="I97" s="25">
        <v>3.46</v>
      </c>
      <c r="J97" s="25">
        <v>0.85</v>
      </c>
      <c r="K97" s="33"/>
      <c r="L97" s="25">
        <v>0.98</v>
      </c>
      <c r="M97" s="33">
        <v>12.6</v>
      </c>
      <c r="N97" s="9"/>
      <c r="O97" s="31">
        <v>99</v>
      </c>
      <c r="P97" s="38">
        <v>76.088549999999998</v>
      </c>
      <c r="Q97" s="24"/>
      <c r="R97" s="38"/>
      <c r="T97" s="2"/>
      <c r="U97" s="2"/>
      <c r="V97" s="24"/>
      <c r="W97" s="24"/>
      <c r="X97" s="24"/>
      <c r="Y97" s="24"/>
      <c r="Z97" s="24"/>
      <c r="AA97" s="24"/>
      <c r="AB97" s="24"/>
      <c r="AC97" s="25"/>
      <c r="AD97" s="25"/>
      <c r="AE97" s="25"/>
      <c r="AF97" s="25"/>
      <c r="AH97" s="10"/>
      <c r="AI97" s="25"/>
      <c r="AJ97" s="25"/>
      <c r="AL97" s="9"/>
      <c r="AP97" s="9"/>
      <c r="AQ97" s="9"/>
    </row>
    <row r="98" spans="1:43">
      <c r="A98" s="13">
        <v>20029</v>
      </c>
      <c r="B98" s="3">
        <v>18.571100000000001</v>
      </c>
      <c r="C98" s="24">
        <v>60357</v>
      </c>
      <c r="D98" s="24">
        <v>49179</v>
      </c>
      <c r="E98" s="2">
        <v>5.3</v>
      </c>
      <c r="F98" s="33">
        <v>9.5773999999999998E-2</v>
      </c>
      <c r="G98" s="33">
        <v>8.0808000000000005E-2</v>
      </c>
      <c r="H98" s="25">
        <v>2.89</v>
      </c>
      <c r="I98" s="25">
        <v>3.45</v>
      </c>
      <c r="J98" s="25">
        <v>0.83</v>
      </c>
      <c r="K98" s="33"/>
      <c r="L98" s="25">
        <v>0.93</v>
      </c>
      <c r="M98" s="33">
        <v>12.6</v>
      </c>
      <c r="N98" s="9"/>
      <c r="O98" s="31">
        <v>99.5</v>
      </c>
      <c r="P98" s="38">
        <v>77.112430000000003</v>
      </c>
      <c r="Q98" s="24"/>
      <c r="R98" s="38"/>
      <c r="T98" s="2"/>
      <c r="U98" s="2"/>
      <c r="V98" s="24"/>
      <c r="W98" s="24"/>
      <c r="X98" s="24"/>
      <c r="Y98" s="24"/>
      <c r="Z98" s="24"/>
      <c r="AA98" s="24"/>
      <c r="AB98" s="24"/>
      <c r="AC98" s="25"/>
      <c r="AD98" s="25"/>
      <c r="AE98" s="25"/>
      <c r="AF98" s="25"/>
      <c r="AH98" s="10"/>
      <c r="AI98" s="25"/>
      <c r="AJ98" s="25"/>
      <c r="AL98" s="9"/>
      <c r="AP98" s="9"/>
      <c r="AQ98" s="9"/>
    </row>
    <row r="99" spans="1:43">
      <c r="A99" s="13">
        <v>20059</v>
      </c>
      <c r="B99" s="3">
        <v>18.8127</v>
      </c>
      <c r="C99" s="24">
        <v>60116</v>
      </c>
      <c r="D99" s="24">
        <v>49331</v>
      </c>
      <c r="E99" s="2">
        <v>5</v>
      </c>
      <c r="F99" s="33">
        <v>5.4288000000000003E-2</v>
      </c>
      <c r="G99" s="33">
        <v>5.0818000000000002E-2</v>
      </c>
      <c r="H99" s="25">
        <v>2.9</v>
      </c>
      <c r="I99" s="25">
        <v>3.45</v>
      </c>
      <c r="J99" s="25">
        <v>1.28</v>
      </c>
      <c r="K99" s="33"/>
      <c r="L99" s="25">
        <v>1.1499999999999999</v>
      </c>
      <c r="M99" s="33">
        <v>12.6</v>
      </c>
      <c r="N99" s="9"/>
      <c r="O99" s="31">
        <v>99.3</v>
      </c>
      <c r="P99" s="38">
        <v>68.094539999999995</v>
      </c>
      <c r="Q99" s="24"/>
      <c r="R99" s="38"/>
      <c r="T99" s="2"/>
      <c r="U99" s="2"/>
      <c r="V99" s="24"/>
      <c r="W99" s="24"/>
      <c r="X99" s="24"/>
      <c r="Y99" s="24"/>
      <c r="Z99" s="24"/>
      <c r="AA99" s="24"/>
      <c r="AB99" s="24"/>
      <c r="AC99" s="25"/>
      <c r="AD99" s="25"/>
      <c r="AE99" s="25"/>
      <c r="AF99" s="25"/>
      <c r="AH99" s="10"/>
      <c r="AI99" s="25"/>
      <c r="AJ99" s="25"/>
      <c r="AL99" s="9"/>
      <c r="AP99" s="9"/>
      <c r="AQ99" s="9"/>
    </row>
    <row r="100" spans="1:43">
      <c r="A100" s="13">
        <v>20090</v>
      </c>
      <c r="B100" s="3">
        <v>19.242100000000001</v>
      </c>
      <c r="C100" s="24">
        <v>60753</v>
      </c>
      <c r="D100" s="24">
        <v>49497</v>
      </c>
      <c r="E100" s="2">
        <v>4.9000000000000004</v>
      </c>
      <c r="F100" s="33">
        <v>1.8075999999999998E-2</v>
      </c>
      <c r="G100" s="33">
        <v>1.8065999999999999E-2</v>
      </c>
      <c r="H100" s="25">
        <v>2.93</v>
      </c>
      <c r="I100" s="25">
        <v>3.45</v>
      </c>
      <c r="J100" s="25">
        <v>1.39</v>
      </c>
      <c r="K100" s="33"/>
      <c r="L100" s="25">
        <v>1.22</v>
      </c>
      <c r="M100" s="33">
        <v>12.6</v>
      </c>
      <c r="N100" s="9"/>
      <c r="O100" s="31">
        <v>101.7</v>
      </c>
      <c r="P100" s="38">
        <v>62.936529999999998</v>
      </c>
      <c r="Q100" s="24"/>
      <c r="R100" s="38"/>
      <c r="T100" s="2"/>
      <c r="U100" s="2"/>
      <c r="V100" s="24"/>
      <c r="W100" s="24"/>
      <c r="X100" s="24"/>
      <c r="Y100" s="24"/>
      <c r="Z100" s="24"/>
      <c r="AA100" s="24"/>
      <c r="AB100" s="24"/>
      <c r="AC100" s="25"/>
      <c r="AD100" s="25"/>
      <c r="AE100" s="25"/>
      <c r="AF100" s="25"/>
      <c r="AH100" s="10"/>
      <c r="AI100" s="25"/>
      <c r="AJ100" s="25"/>
      <c r="AL100" s="9"/>
      <c r="AP100" s="9"/>
      <c r="AQ100" s="9"/>
    </row>
    <row r="101" spans="1:43">
      <c r="A101" s="13">
        <v>20121</v>
      </c>
      <c r="B101" s="3">
        <v>19.483599999999999</v>
      </c>
      <c r="C101" s="24">
        <v>60727</v>
      </c>
      <c r="D101" s="24">
        <v>49644</v>
      </c>
      <c r="E101" s="2">
        <v>4.7</v>
      </c>
      <c r="F101" s="33">
        <v>1.3526E-2</v>
      </c>
      <c r="G101" s="33">
        <v>3.5490000000000001E-3</v>
      </c>
      <c r="H101" s="25">
        <v>2.93</v>
      </c>
      <c r="I101" s="25">
        <v>3.47</v>
      </c>
      <c r="J101" s="25">
        <v>1.29</v>
      </c>
      <c r="K101" s="33"/>
      <c r="L101" s="25">
        <v>1.17</v>
      </c>
      <c r="M101" s="33">
        <v>12.6</v>
      </c>
      <c r="N101" s="9"/>
      <c r="O101" s="31">
        <v>103.3</v>
      </c>
      <c r="P101" s="38">
        <v>39.313310000000001</v>
      </c>
      <c r="Q101" s="24"/>
      <c r="R101" s="38"/>
      <c r="T101" s="2"/>
      <c r="U101" s="2"/>
      <c r="V101" s="24"/>
      <c r="W101" s="24"/>
      <c r="X101" s="24"/>
      <c r="Y101" s="24"/>
      <c r="Z101" s="24"/>
      <c r="AA101" s="24"/>
      <c r="AB101" s="24"/>
      <c r="AC101" s="25"/>
      <c r="AD101" s="25"/>
      <c r="AE101" s="25"/>
      <c r="AF101" s="25"/>
      <c r="AH101" s="10"/>
      <c r="AI101" s="25"/>
      <c r="AJ101" s="25"/>
      <c r="AL101" s="9"/>
      <c r="AP101" s="9"/>
      <c r="AQ101" s="9"/>
    </row>
    <row r="102" spans="1:43">
      <c r="A102" s="13">
        <v>20149</v>
      </c>
      <c r="B102" s="3">
        <v>19.939800000000002</v>
      </c>
      <c r="C102" s="24">
        <v>60964</v>
      </c>
      <c r="D102" s="24">
        <v>49963</v>
      </c>
      <c r="E102" s="2">
        <v>4.5999999999999996</v>
      </c>
      <c r="F102" s="33">
        <v>-2.2420000000000001E-3</v>
      </c>
      <c r="G102" s="33">
        <v>-4.8970000000000003E-3</v>
      </c>
      <c r="H102" s="25">
        <v>3.02</v>
      </c>
      <c r="I102" s="25">
        <v>3.48</v>
      </c>
      <c r="J102" s="25">
        <v>1.35</v>
      </c>
      <c r="K102" s="33"/>
      <c r="L102" s="25">
        <v>1.28</v>
      </c>
      <c r="M102" s="33">
        <v>12.6</v>
      </c>
      <c r="N102" s="9"/>
      <c r="O102" s="31">
        <v>101.4</v>
      </c>
      <c r="P102" s="38">
        <v>48.3093</v>
      </c>
      <c r="Q102" s="24"/>
      <c r="R102" s="38"/>
      <c r="T102" s="2"/>
      <c r="U102" s="2"/>
      <c r="V102" s="24"/>
      <c r="W102" s="24"/>
      <c r="X102" s="24"/>
      <c r="Y102" s="24"/>
      <c r="Z102" s="24"/>
      <c r="AA102" s="24"/>
      <c r="AB102" s="24"/>
      <c r="AC102" s="25"/>
      <c r="AD102" s="25"/>
      <c r="AE102" s="25"/>
      <c r="AF102" s="25"/>
      <c r="AH102" s="10"/>
      <c r="AI102" s="25"/>
      <c r="AJ102" s="25"/>
      <c r="AL102" s="9"/>
      <c r="AP102" s="9"/>
      <c r="AQ102" s="9"/>
    </row>
    <row r="103" spans="1:43">
      <c r="A103" s="13">
        <v>20180</v>
      </c>
      <c r="B103" s="3">
        <v>20.1814</v>
      </c>
      <c r="C103" s="24">
        <v>61515</v>
      </c>
      <c r="D103" s="24">
        <v>50246</v>
      </c>
      <c r="E103" s="2">
        <v>4.7</v>
      </c>
      <c r="F103" s="33">
        <v>3.9843000000000003E-2</v>
      </c>
      <c r="G103" s="33">
        <v>3.7726000000000003E-2</v>
      </c>
      <c r="H103" s="25">
        <v>3.01</v>
      </c>
      <c r="I103" s="25">
        <v>3.49</v>
      </c>
      <c r="J103" s="25">
        <v>1.43</v>
      </c>
      <c r="K103" s="33"/>
      <c r="L103" s="25">
        <v>1.59</v>
      </c>
      <c r="M103" s="33">
        <v>12.6</v>
      </c>
      <c r="N103" s="9"/>
      <c r="O103" s="31">
        <v>103</v>
      </c>
      <c r="P103" s="38">
        <v>49.984110000000001</v>
      </c>
      <c r="Q103" s="24"/>
      <c r="R103" s="38"/>
      <c r="T103" s="2"/>
      <c r="U103" s="2"/>
      <c r="V103" s="24"/>
      <c r="W103" s="24"/>
      <c r="X103" s="24"/>
      <c r="Y103" s="24"/>
      <c r="Z103" s="24"/>
      <c r="AA103" s="24"/>
      <c r="AB103" s="24"/>
      <c r="AC103" s="25"/>
      <c r="AD103" s="25"/>
      <c r="AE103" s="25"/>
      <c r="AF103" s="25"/>
      <c r="AH103" s="10"/>
      <c r="AI103" s="25"/>
      <c r="AJ103" s="25"/>
      <c r="AL103" s="9"/>
      <c r="AP103" s="9"/>
      <c r="AQ103" s="9"/>
    </row>
    <row r="104" spans="1:43">
      <c r="A104" s="13">
        <v>20210</v>
      </c>
      <c r="B104" s="3">
        <v>20.503399999999999</v>
      </c>
      <c r="C104" s="24">
        <v>61634</v>
      </c>
      <c r="D104" s="24">
        <v>50512</v>
      </c>
      <c r="E104" s="2">
        <v>4.3</v>
      </c>
      <c r="F104" s="33">
        <v>6.4330000000000003E-3</v>
      </c>
      <c r="G104" s="33">
        <v>-1.317E-3</v>
      </c>
      <c r="H104" s="25">
        <v>3.04</v>
      </c>
      <c r="I104" s="25">
        <v>3.5</v>
      </c>
      <c r="J104" s="25">
        <v>1.43</v>
      </c>
      <c r="K104" s="33"/>
      <c r="L104" s="25">
        <v>1.45</v>
      </c>
      <c r="M104" s="33">
        <v>12.6</v>
      </c>
      <c r="N104" s="9"/>
      <c r="O104" s="31">
        <v>101.7</v>
      </c>
      <c r="P104" s="38">
        <v>48.787930000000003</v>
      </c>
      <c r="Q104" s="24"/>
      <c r="R104" s="38"/>
      <c r="T104" s="2"/>
      <c r="U104" s="2"/>
      <c r="V104" s="24"/>
      <c r="W104" s="24"/>
      <c r="X104" s="24"/>
      <c r="Y104" s="24"/>
      <c r="Z104" s="24"/>
      <c r="AA104" s="24"/>
      <c r="AB104" s="24"/>
      <c r="AC104" s="25"/>
      <c r="AD104" s="25"/>
      <c r="AE104" s="25"/>
      <c r="AF104" s="25"/>
      <c r="AH104" s="10"/>
      <c r="AI104" s="25"/>
      <c r="AJ104" s="25"/>
      <c r="AL104" s="9"/>
      <c r="AP104" s="9"/>
      <c r="AQ104" s="9"/>
    </row>
    <row r="105" spans="1:43">
      <c r="A105" s="13">
        <v>20241</v>
      </c>
      <c r="B105" s="3">
        <v>20.5303</v>
      </c>
      <c r="C105" s="24">
        <v>61781</v>
      </c>
      <c r="D105" s="24">
        <v>50790</v>
      </c>
      <c r="E105" s="2">
        <v>4.2</v>
      </c>
      <c r="F105" s="33">
        <v>8.1299999999999997E-2</v>
      </c>
      <c r="G105" s="33">
        <v>8.2299999999999998E-2</v>
      </c>
      <c r="H105" s="25">
        <v>3.05</v>
      </c>
      <c r="I105" s="25">
        <v>3.51</v>
      </c>
      <c r="J105" s="25">
        <v>1.64</v>
      </c>
      <c r="K105" s="33"/>
      <c r="L105" s="25">
        <v>1.41</v>
      </c>
      <c r="M105" s="33">
        <v>12.6</v>
      </c>
      <c r="N105" s="9"/>
      <c r="O105" s="31">
        <v>103</v>
      </c>
      <c r="P105" s="38">
        <v>48.676650000000002</v>
      </c>
      <c r="Q105" s="24"/>
      <c r="R105" s="38"/>
      <c r="T105" s="2"/>
      <c r="U105" s="2"/>
      <c r="V105" s="24"/>
      <c r="W105" s="24"/>
      <c r="X105" s="24"/>
      <c r="Y105" s="24"/>
      <c r="Z105" s="24"/>
      <c r="AA105" s="24"/>
      <c r="AB105" s="24"/>
      <c r="AC105" s="25"/>
      <c r="AD105" s="25"/>
      <c r="AE105" s="25"/>
      <c r="AF105" s="25"/>
      <c r="AH105" s="10"/>
      <c r="AI105" s="25"/>
      <c r="AJ105" s="25"/>
      <c r="AL105" s="9"/>
      <c r="AP105" s="9"/>
      <c r="AQ105" s="9"/>
    </row>
    <row r="106" spans="1:43">
      <c r="A106" s="13">
        <v>20271</v>
      </c>
      <c r="B106" s="3">
        <v>20.691299999999998</v>
      </c>
      <c r="C106" s="24">
        <v>62513</v>
      </c>
      <c r="D106" s="24">
        <v>50985</v>
      </c>
      <c r="E106" s="2">
        <v>4</v>
      </c>
      <c r="F106" s="33">
        <v>5.7646000000000003E-2</v>
      </c>
      <c r="G106" s="33">
        <v>6.0686999999999998E-2</v>
      </c>
      <c r="H106" s="25">
        <v>3.06</v>
      </c>
      <c r="I106" s="25">
        <v>3.52</v>
      </c>
      <c r="J106" s="25">
        <v>1.68</v>
      </c>
      <c r="K106" s="33"/>
      <c r="L106" s="25">
        <v>1.6</v>
      </c>
      <c r="M106" s="33">
        <v>12.6</v>
      </c>
      <c r="N106" s="9"/>
      <c r="O106" s="31">
        <v>106.8</v>
      </c>
      <c r="P106" s="38">
        <v>52.31326</v>
      </c>
      <c r="Q106" s="24"/>
      <c r="R106" s="38"/>
      <c r="T106" s="2"/>
      <c r="U106" s="2"/>
      <c r="V106" s="24"/>
      <c r="W106" s="24"/>
      <c r="X106" s="24"/>
      <c r="Y106" s="24"/>
      <c r="Z106" s="24"/>
      <c r="AA106" s="24"/>
      <c r="AB106" s="24"/>
      <c r="AC106" s="25"/>
      <c r="AD106" s="25"/>
      <c r="AE106" s="25"/>
      <c r="AF106" s="25"/>
      <c r="AH106" s="10"/>
      <c r="AI106" s="25"/>
      <c r="AJ106" s="25"/>
      <c r="AL106" s="9"/>
      <c r="AP106" s="9"/>
      <c r="AQ106" s="9"/>
    </row>
    <row r="107" spans="1:43">
      <c r="A107" s="13">
        <v>20302</v>
      </c>
      <c r="B107" s="3">
        <v>20.664400000000001</v>
      </c>
      <c r="C107" s="24">
        <v>62797</v>
      </c>
      <c r="D107" s="24">
        <v>51112</v>
      </c>
      <c r="E107" s="2">
        <v>4.2</v>
      </c>
      <c r="F107" s="33">
        <v>-6.4800000000000003E-4</v>
      </c>
      <c r="G107" s="33">
        <v>-7.8130000000000005E-3</v>
      </c>
      <c r="H107" s="25">
        <v>3.11</v>
      </c>
      <c r="I107" s="25">
        <v>3.56</v>
      </c>
      <c r="J107" s="25">
        <v>1.96</v>
      </c>
      <c r="K107" s="33"/>
      <c r="L107" s="25">
        <v>1.9</v>
      </c>
      <c r="M107" s="33">
        <v>12.6</v>
      </c>
      <c r="N107" s="9"/>
      <c r="O107" s="31">
        <v>108.2</v>
      </c>
      <c r="P107" s="38">
        <v>45.068869999999997</v>
      </c>
      <c r="Q107" s="24"/>
      <c r="R107" s="38"/>
      <c r="T107" s="2"/>
      <c r="U107" s="2"/>
      <c r="V107" s="24"/>
      <c r="W107" s="24"/>
      <c r="X107" s="24"/>
      <c r="Y107" s="24"/>
      <c r="Z107" s="24"/>
      <c r="AA107" s="24"/>
      <c r="AB107" s="24"/>
      <c r="AC107" s="25"/>
      <c r="AD107" s="25"/>
      <c r="AE107" s="25"/>
      <c r="AF107" s="25"/>
      <c r="AH107" s="10"/>
      <c r="AI107" s="25"/>
      <c r="AJ107" s="25"/>
      <c r="AL107" s="9"/>
      <c r="AP107" s="9"/>
      <c r="AQ107" s="9"/>
    </row>
    <row r="108" spans="1:43">
      <c r="A108" s="13">
        <v>20333</v>
      </c>
      <c r="B108" s="3">
        <v>20.7986</v>
      </c>
      <c r="C108" s="24">
        <v>62950</v>
      </c>
      <c r="D108" s="24">
        <v>51262</v>
      </c>
      <c r="E108" s="2">
        <v>4.0999999999999996</v>
      </c>
      <c r="F108" s="33">
        <v>1.1285999999999999E-2</v>
      </c>
      <c r="G108" s="33">
        <v>1.1348E-2</v>
      </c>
      <c r="H108" s="25">
        <v>3.13</v>
      </c>
      <c r="I108" s="25">
        <v>3.59</v>
      </c>
      <c r="J108" s="25">
        <v>2.1800000000000002</v>
      </c>
      <c r="K108" s="33"/>
      <c r="L108" s="25">
        <v>2.0699999999999998</v>
      </c>
      <c r="M108" s="33">
        <v>12.6</v>
      </c>
      <c r="N108" s="9"/>
      <c r="O108" s="31">
        <v>109.6</v>
      </c>
      <c r="P108" s="38">
        <v>47.548749999999998</v>
      </c>
      <c r="Q108" s="24"/>
      <c r="R108" s="38"/>
      <c r="T108" s="2"/>
      <c r="U108" s="2"/>
      <c r="V108" s="24"/>
      <c r="W108" s="24"/>
      <c r="X108" s="24"/>
      <c r="Y108" s="24"/>
      <c r="Z108" s="24"/>
      <c r="AA108" s="24"/>
      <c r="AB108" s="24"/>
      <c r="AC108" s="25"/>
      <c r="AD108" s="25"/>
      <c r="AE108" s="25"/>
      <c r="AF108" s="25"/>
      <c r="AH108" s="10"/>
      <c r="AI108" s="25"/>
      <c r="AJ108" s="25"/>
      <c r="AL108" s="9"/>
      <c r="AP108" s="9"/>
      <c r="AQ108" s="9"/>
    </row>
    <row r="109" spans="1:43">
      <c r="A109" s="13">
        <v>20363</v>
      </c>
      <c r="B109" s="3">
        <v>21.147500000000001</v>
      </c>
      <c r="C109" s="24">
        <v>62991</v>
      </c>
      <c r="D109" s="24">
        <v>51431</v>
      </c>
      <c r="E109" s="2">
        <v>4.3</v>
      </c>
      <c r="F109" s="33">
        <v>-3.0467999999999999E-2</v>
      </c>
      <c r="G109" s="33">
        <v>-3.0456E-2</v>
      </c>
      <c r="H109" s="25">
        <v>3.1</v>
      </c>
      <c r="I109" s="25">
        <v>3.59</v>
      </c>
      <c r="J109" s="25">
        <v>2.2400000000000002</v>
      </c>
      <c r="K109" s="33"/>
      <c r="L109" s="25">
        <v>2.23</v>
      </c>
      <c r="M109" s="33">
        <v>12.6</v>
      </c>
      <c r="N109" s="9"/>
      <c r="O109" s="31">
        <v>108.8</v>
      </c>
      <c r="P109" s="38">
        <v>39.63908</v>
      </c>
      <c r="Q109" s="24"/>
      <c r="R109" s="38"/>
      <c r="T109" s="2"/>
      <c r="U109" s="2"/>
      <c r="V109" s="24"/>
      <c r="W109" s="24"/>
      <c r="X109" s="24"/>
      <c r="Y109" s="24"/>
      <c r="Z109" s="24"/>
      <c r="AA109" s="24"/>
      <c r="AB109" s="24"/>
      <c r="AC109" s="25"/>
      <c r="AD109" s="25"/>
      <c r="AE109" s="25"/>
      <c r="AF109" s="25"/>
      <c r="AH109" s="10"/>
      <c r="AI109" s="25"/>
      <c r="AJ109" s="25"/>
      <c r="AL109" s="9"/>
      <c r="AP109" s="9"/>
      <c r="AQ109" s="9"/>
    </row>
    <row r="110" spans="1:43">
      <c r="A110" s="13">
        <v>20394</v>
      </c>
      <c r="B110" s="3">
        <v>21.2012</v>
      </c>
      <c r="C110" s="24">
        <v>63257</v>
      </c>
      <c r="D110" s="24">
        <v>51592</v>
      </c>
      <c r="E110" s="2">
        <v>4.2</v>
      </c>
      <c r="F110" s="33">
        <v>8.7825E-2</v>
      </c>
      <c r="G110" s="33">
        <v>7.4870000000000006E-2</v>
      </c>
      <c r="H110" s="25">
        <v>3.1</v>
      </c>
      <c r="I110" s="25">
        <v>3.58</v>
      </c>
      <c r="J110" s="25">
        <v>2.35</v>
      </c>
      <c r="K110" s="33"/>
      <c r="L110" s="25">
        <v>2.2400000000000002</v>
      </c>
      <c r="M110" s="33">
        <v>12.6</v>
      </c>
      <c r="N110" s="9"/>
      <c r="O110" s="31">
        <v>110.3</v>
      </c>
      <c r="P110" s="38">
        <v>50.316319999999997</v>
      </c>
      <c r="Q110" s="24"/>
      <c r="R110" s="38"/>
      <c r="T110" s="2"/>
      <c r="U110" s="2"/>
      <c r="V110" s="24"/>
      <c r="W110" s="24"/>
      <c r="X110" s="24"/>
      <c r="Y110" s="24"/>
      <c r="Z110" s="24"/>
      <c r="AA110" s="24"/>
      <c r="AB110" s="24"/>
      <c r="AC110" s="25"/>
      <c r="AD110" s="25"/>
      <c r="AE110" s="25"/>
      <c r="AF110" s="25"/>
      <c r="AH110" s="10"/>
      <c r="AI110" s="25"/>
      <c r="AJ110" s="25"/>
      <c r="AL110" s="9"/>
      <c r="AP110" s="9"/>
      <c r="AQ110" s="9"/>
    </row>
    <row r="111" spans="1:43">
      <c r="A111" s="13">
        <v>20424</v>
      </c>
      <c r="B111" s="3">
        <v>21.281700000000001</v>
      </c>
      <c r="C111" s="24">
        <v>63684</v>
      </c>
      <c r="D111" s="24">
        <v>51805</v>
      </c>
      <c r="E111" s="2">
        <v>4.2</v>
      </c>
      <c r="F111" s="33">
        <v>-3.0899999999999998E-4</v>
      </c>
      <c r="G111" s="33">
        <v>-6.5899999999999997E-4</v>
      </c>
      <c r="H111" s="25">
        <v>3.15</v>
      </c>
      <c r="I111" s="25">
        <v>3.62</v>
      </c>
      <c r="J111" s="25">
        <v>2.48</v>
      </c>
      <c r="K111" s="33"/>
      <c r="L111" s="25">
        <v>2.54</v>
      </c>
      <c r="M111" s="33">
        <v>12.6</v>
      </c>
      <c r="N111" s="9"/>
      <c r="O111" s="31">
        <v>113.5</v>
      </c>
      <c r="P111" s="38">
        <v>38.010309999999997</v>
      </c>
      <c r="Q111" s="24"/>
      <c r="R111" s="38"/>
      <c r="T111" s="2"/>
      <c r="U111" s="2"/>
      <c r="V111" s="24"/>
      <c r="W111" s="24"/>
      <c r="X111" s="24"/>
      <c r="Y111" s="24"/>
      <c r="Z111" s="24"/>
      <c r="AA111" s="24"/>
      <c r="AB111" s="24"/>
      <c r="AC111" s="25"/>
      <c r="AD111" s="25"/>
      <c r="AE111" s="25"/>
      <c r="AF111" s="25"/>
      <c r="AH111" s="10"/>
      <c r="AI111" s="25"/>
      <c r="AJ111" s="25"/>
      <c r="AL111" s="9"/>
      <c r="AP111" s="9"/>
      <c r="AQ111" s="9"/>
    </row>
    <row r="112" spans="1:43">
      <c r="A112" s="13">
        <v>20455</v>
      </c>
      <c r="B112" s="3">
        <v>21.415900000000001</v>
      </c>
      <c r="C112" s="24">
        <v>63753</v>
      </c>
      <c r="D112" s="24">
        <v>51975</v>
      </c>
      <c r="E112" s="2">
        <v>4</v>
      </c>
      <c r="F112" s="33">
        <v>-3.5056999999999998E-2</v>
      </c>
      <c r="G112" s="33">
        <v>-3.6499999999999998E-2</v>
      </c>
      <c r="H112" s="25">
        <v>3.11</v>
      </c>
      <c r="I112" s="25">
        <v>3.6</v>
      </c>
      <c r="J112" s="25">
        <v>2.4500000000000002</v>
      </c>
      <c r="K112" s="33"/>
      <c r="L112" s="25">
        <v>2.41</v>
      </c>
      <c r="M112" s="33">
        <v>12.6</v>
      </c>
      <c r="N112" s="9"/>
      <c r="O112" s="31">
        <v>112.2</v>
      </c>
      <c r="P112" s="38">
        <v>73.391329999999996</v>
      </c>
      <c r="Q112" s="24"/>
      <c r="R112" s="38"/>
      <c r="T112" s="2"/>
      <c r="U112" s="2"/>
      <c r="V112" s="24"/>
      <c r="W112" s="24"/>
      <c r="X112" s="24"/>
      <c r="Y112" s="24"/>
      <c r="Z112" s="24"/>
      <c r="AA112" s="24"/>
      <c r="AB112" s="24"/>
      <c r="AC112" s="25"/>
      <c r="AD112" s="25"/>
      <c r="AE112" s="25"/>
      <c r="AF112" s="25"/>
      <c r="AH112" s="10"/>
      <c r="AI112" s="25"/>
      <c r="AJ112" s="25"/>
      <c r="AL112" s="9"/>
      <c r="AP112" s="9"/>
      <c r="AQ112" s="9"/>
    </row>
    <row r="113" spans="1:43">
      <c r="A113" s="13">
        <v>20486</v>
      </c>
      <c r="B113" s="3">
        <v>21.228000000000002</v>
      </c>
      <c r="C113" s="24">
        <v>63518</v>
      </c>
      <c r="D113" s="24">
        <v>52167</v>
      </c>
      <c r="E113" s="2">
        <v>3.9</v>
      </c>
      <c r="F113" s="33">
        <v>4.1397000000000003E-2</v>
      </c>
      <c r="G113" s="33">
        <v>3.4687000000000003E-2</v>
      </c>
      <c r="H113" s="25">
        <v>3.08</v>
      </c>
      <c r="I113" s="25">
        <v>3.58</v>
      </c>
      <c r="J113" s="25">
        <v>2.5</v>
      </c>
      <c r="K113" s="33"/>
      <c r="L113" s="25">
        <v>2.3199999999999998</v>
      </c>
      <c r="M113" s="33">
        <v>12.6</v>
      </c>
      <c r="N113" s="9"/>
      <c r="O113" s="31">
        <v>110.4</v>
      </c>
      <c r="P113" s="38">
        <v>65.371290000000002</v>
      </c>
      <c r="Q113" s="24"/>
      <c r="R113" s="38"/>
      <c r="T113" s="2"/>
      <c r="U113" s="2"/>
      <c r="V113" s="24"/>
      <c r="W113" s="24"/>
      <c r="X113" s="24"/>
      <c r="Y113" s="24"/>
      <c r="Z113" s="24"/>
      <c r="AA113" s="24"/>
      <c r="AB113" s="24"/>
      <c r="AC113" s="25"/>
      <c r="AD113" s="25"/>
      <c r="AE113" s="25"/>
      <c r="AF113" s="25"/>
      <c r="AH113" s="10"/>
      <c r="AI113" s="25"/>
      <c r="AJ113" s="25"/>
      <c r="AL113" s="9"/>
      <c r="AP113" s="9"/>
      <c r="AQ113" s="9"/>
    </row>
    <row r="114" spans="1:43">
      <c r="A114" s="13">
        <v>20515</v>
      </c>
      <c r="B114" s="3">
        <v>21.228000000000002</v>
      </c>
      <c r="C114" s="24">
        <v>63411</v>
      </c>
      <c r="D114" s="24">
        <v>52295</v>
      </c>
      <c r="E114" s="2">
        <v>4.2</v>
      </c>
      <c r="F114" s="33">
        <v>7.0328000000000002E-2</v>
      </c>
      <c r="G114" s="33">
        <v>6.9254999999999997E-2</v>
      </c>
      <c r="H114" s="25">
        <v>3.1</v>
      </c>
      <c r="I114" s="25">
        <v>3.6</v>
      </c>
      <c r="J114" s="25">
        <v>2.5</v>
      </c>
      <c r="K114" s="33"/>
      <c r="L114" s="25">
        <v>2.25</v>
      </c>
      <c r="M114" s="33">
        <v>12.6</v>
      </c>
      <c r="N114" s="9"/>
      <c r="O114" s="31">
        <v>110.7</v>
      </c>
      <c r="P114" s="38">
        <v>58.884529999999998</v>
      </c>
      <c r="Q114" s="24"/>
      <c r="R114" s="38"/>
      <c r="T114" s="2"/>
      <c r="U114" s="2"/>
      <c r="V114" s="24"/>
      <c r="W114" s="24"/>
      <c r="X114" s="24"/>
      <c r="Y114" s="24"/>
      <c r="Z114" s="24"/>
      <c r="AA114" s="24"/>
      <c r="AB114" s="24"/>
      <c r="AC114" s="25"/>
      <c r="AD114" s="25"/>
      <c r="AE114" s="25"/>
      <c r="AF114" s="25"/>
      <c r="AH114" s="10"/>
      <c r="AI114" s="25"/>
      <c r="AJ114" s="25"/>
      <c r="AL114" s="9"/>
      <c r="AP114" s="9"/>
      <c r="AQ114" s="9"/>
    </row>
    <row r="115" spans="1:43">
      <c r="A115" s="13">
        <v>20546</v>
      </c>
      <c r="B115" s="3">
        <v>21.388999999999999</v>
      </c>
      <c r="C115" s="24">
        <v>63614</v>
      </c>
      <c r="D115" s="24">
        <v>52375</v>
      </c>
      <c r="E115" s="2">
        <v>4</v>
      </c>
      <c r="F115" s="33">
        <v>-6.3699999999999998E-4</v>
      </c>
      <c r="G115" s="33">
        <v>-2.0630000000000002E-3</v>
      </c>
      <c r="H115" s="25">
        <v>3.24</v>
      </c>
      <c r="I115" s="25">
        <v>3.68</v>
      </c>
      <c r="J115" s="25">
        <v>2.62</v>
      </c>
      <c r="K115" s="33"/>
      <c r="L115" s="25">
        <v>2.6</v>
      </c>
      <c r="M115" s="33">
        <v>12.6</v>
      </c>
      <c r="N115" s="9"/>
      <c r="O115" s="31">
        <v>111.2</v>
      </c>
      <c r="P115" s="38">
        <v>61.216160000000002</v>
      </c>
      <c r="Q115" s="24"/>
      <c r="R115" s="38"/>
      <c r="T115" s="2"/>
      <c r="U115" s="2"/>
      <c r="V115" s="24"/>
      <c r="W115" s="24"/>
      <c r="X115" s="24"/>
      <c r="Y115" s="24"/>
      <c r="Z115" s="24"/>
      <c r="AA115" s="24"/>
      <c r="AB115" s="24"/>
      <c r="AC115" s="25"/>
      <c r="AD115" s="25"/>
      <c r="AE115" s="25"/>
      <c r="AF115" s="25"/>
      <c r="AH115" s="10"/>
      <c r="AI115" s="25"/>
      <c r="AJ115" s="25"/>
      <c r="AL115" s="9"/>
      <c r="AP115" s="9"/>
      <c r="AQ115" s="9"/>
    </row>
    <row r="116" spans="1:43">
      <c r="A116" s="13">
        <v>20576</v>
      </c>
      <c r="B116" s="3">
        <v>21.2012</v>
      </c>
      <c r="C116" s="24">
        <v>63861</v>
      </c>
      <c r="D116" s="24">
        <v>52506</v>
      </c>
      <c r="E116" s="2">
        <v>4.3</v>
      </c>
      <c r="F116" s="33">
        <v>-5.8414000000000001E-2</v>
      </c>
      <c r="G116" s="33">
        <v>-6.5729999999999997E-2</v>
      </c>
      <c r="H116" s="25">
        <v>3.28</v>
      </c>
      <c r="I116" s="25">
        <v>3.73</v>
      </c>
      <c r="J116" s="25">
        <v>2.75</v>
      </c>
      <c r="K116" s="33"/>
      <c r="L116" s="25">
        <v>2.61</v>
      </c>
      <c r="M116" s="33">
        <v>12.6</v>
      </c>
      <c r="N116" s="9"/>
      <c r="O116" s="31">
        <v>107.3</v>
      </c>
      <c r="P116" s="38">
        <v>30.446480000000001</v>
      </c>
      <c r="Q116" s="24"/>
      <c r="R116" s="38"/>
      <c r="T116" s="2"/>
      <c r="U116" s="2"/>
      <c r="V116" s="24"/>
      <c r="W116" s="24"/>
      <c r="X116" s="24"/>
      <c r="Y116" s="24"/>
      <c r="Z116" s="24"/>
      <c r="AA116" s="24"/>
      <c r="AB116" s="24"/>
      <c r="AC116" s="25"/>
      <c r="AD116" s="25"/>
      <c r="AE116" s="25"/>
      <c r="AF116" s="25"/>
      <c r="AH116" s="10"/>
      <c r="AI116" s="25"/>
      <c r="AJ116" s="25"/>
      <c r="AL116" s="9"/>
      <c r="AP116" s="9"/>
      <c r="AQ116" s="9"/>
    </row>
    <row r="117" spans="1:43">
      <c r="A117" s="13">
        <v>20607</v>
      </c>
      <c r="B117" s="3">
        <v>21.013300000000001</v>
      </c>
      <c r="C117" s="24">
        <v>63820</v>
      </c>
      <c r="D117" s="24">
        <v>52583</v>
      </c>
      <c r="E117" s="2">
        <v>4.3</v>
      </c>
      <c r="F117" s="33">
        <v>3.891E-2</v>
      </c>
      <c r="G117" s="33">
        <v>3.9158999999999999E-2</v>
      </c>
      <c r="H117" s="25">
        <v>3.26</v>
      </c>
      <c r="I117" s="25">
        <v>3.76</v>
      </c>
      <c r="J117" s="25">
        <v>2.71</v>
      </c>
      <c r="K117" s="33"/>
      <c r="L117" s="25">
        <v>2.4900000000000002</v>
      </c>
      <c r="M117" s="33">
        <v>12.7</v>
      </c>
      <c r="N117" s="9"/>
      <c r="O117" s="31">
        <v>104.4</v>
      </c>
      <c r="P117" s="38">
        <v>30.989660000000001</v>
      </c>
      <c r="Q117" s="24"/>
      <c r="R117" s="38"/>
      <c r="T117" s="2"/>
      <c r="U117" s="2"/>
      <c r="V117" s="24"/>
      <c r="W117" s="24"/>
      <c r="X117" s="24"/>
      <c r="Y117" s="24"/>
      <c r="Z117" s="24"/>
      <c r="AA117" s="24"/>
      <c r="AB117" s="24"/>
      <c r="AC117" s="25"/>
      <c r="AD117" s="25"/>
      <c r="AE117" s="25"/>
      <c r="AF117" s="25"/>
      <c r="AH117" s="10"/>
      <c r="AI117" s="25"/>
      <c r="AJ117" s="25"/>
      <c r="AL117" s="9"/>
      <c r="AP117" s="9"/>
      <c r="AQ117" s="9"/>
    </row>
    <row r="118" spans="1:43">
      <c r="A118" s="13">
        <v>20637</v>
      </c>
      <c r="B118" s="3">
        <v>20.369199999999999</v>
      </c>
      <c r="C118" s="24">
        <v>63800</v>
      </c>
      <c r="D118" s="24">
        <v>51954</v>
      </c>
      <c r="E118" s="2">
        <v>4.4000000000000004</v>
      </c>
      <c r="F118" s="33">
        <v>5.1427E-2</v>
      </c>
      <c r="G118" s="33">
        <v>5.1521999999999998E-2</v>
      </c>
      <c r="H118" s="25">
        <v>3.28</v>
      </c>
      <c r="I118" s="25">
        <v>3.8</v>
      </c>
      <c r="J118" s="25">
        <v>2.75</v>
      </c>
      <c r="K118" s="33"/>
      <c r="L118" s="25">
        <v>2.31</v>
      </c>
      <c r="M118" s="33">
        <v>12.7</v>
      </c>
      <c r="N118" s="9"/>
      <c r="O118" s="31">
        <v>104.9</v>
      </c>
      <c r="P118" s="38">
        <v>47.049370000000003</v>
      </c>
      <c r="Q118" s="24"/>
      <c r="R118" s="38"/>
      <c r="T118" s="2"/>
      <c r="U118" s="2"/>
      <c r="V118" s="24"/>
      <c r="W118" s="24"/>
      <c r="X118" s="24"/>
      <c r="Y118" s="24"/>
      <c r="Z118" s="24"/>
      <c r="AA118" s="24"/>
      <c r="AB118" s="24"/>
      <c r="AC118" s="25"/>
      <c r="AD118" s="25"/>
      <c r="AE118" s="25"/>
      <c r="AF118" s="25"/>
      <c r="AH118" s="10"/>
      <c r="AI118" s="25"/>
      <c r="AJ118" s="25"/>
      <c r="AL118" s="9"/>
      <c r="AP118" s="9"/>
      <c r="AQ118" s="9"/>
    </row>
    <row r="119" spans="1:43">
      <c r="A119" s="13">
        <v>20668</v>
      </c>
      <c r="B119" s="3">
        <v>21.2012</v>
      </c>
      <c r="C119" s="24">
        <v>63972</v>
      </c>
      <c r="D119" s="24">
        <v>52632</v>
      </c>
      <c r="E119" s="2">
        <v>4.0999999999999996</v>
      </c>
      <c r="F119" s="33">
        <v>-3.2787999999999998E-2</v>
      </c>
      <c r="G119" s="33">
        <v>-3.8064000000000001E-2</v>
      </c>
      <c r="H119" s="25">
        <v>3.43</v>
      </c>
      <c r="I119" s="25">
        <v>3.93</v>
      </c>
      <c r="J119" s="25">
        <v>2.73</v>
      </c>
      <c r="K119" s="33"/>
      <c r="L119" s="25">
        <v>2.6</v>
      </c>
      <c r="M119" s="33">
        <v>12.7</v>
      </c>
      <c r="N119" s="9"/>
      <c r="O119" s="31">
        <v>107.8</v>
      </c>
      <c r="P119" s="38">
        <v>48.207140000000003</v>
      </c>
      <c r="Q119" s="24"/>
      <c r="R119" s="38"/>
      <c r="T119" s="2"/>
      <c r="U119" s="2"/>
      <c r="V119" s="24"/>
      <c r="W119" s="24"/>
      <c r="X119" s="24"/>
      <c r="Y119" s="24"/>
      <c r="Z119" s="24"/>
      <c r="AA119" s="24"/>
      <c r="AB119" s="24"/>
      <c r="AC119" s="25"/>
      <c r="AD119" s="25"/>
      <c r="AE119" s="25"/>
      <c r="AF119" s="25"/>
      <c r="AH119" s="10"/>
      <c r="AI119" s="25"/>
      <c r="AJ119" s="25"/>
      <c r="AL119" s="9"/>
      <c r="AP119" s="9"/>
      <c r="AQ119" s="9"/>
    </row>
    <row r="120" spans="1:43">
      <c r="A120" s="13">
        <v>20699</v>
      </c>
      <c r="B120" s="3">
        <v>21.684200000000001</v>
      </c>
      <c r="C120" s="24">
        <v>64079</v>
      </c>
      <c r="D120" s="24">
        <v>52600</v>
      </c>
      <c r="E120" s="2">
        <v>3.9</v>
      </c>
      <c r="F120" s="33">
        <v>-4.4021999999999999E-2</v>
      </c>
      <c r="G120" s="33">
        <v>-4.5463999999999997E-2</v>
      </c>
      <c r="H120" s="25">
        <v>3.56</v>
      </c>
      <c r="I120" s="25">
        <v>4.07</v>
      </c>
      <c r="J120" s="25">
        <v>2.95</v>
      </c>
      <c r="K120" s="33"/>
      <c r="L120" s="25">
        <v>2.84</v>
      </c>
      <c r="M120" s="33">
        <v>12.7</v>
      </c>
      <c r="N120" s="9"/>
      <c r="O120" s="31">
        <v>109.8</v>
      </c>
      <c r="P120" s="38">
        <v>38.067439999999998</v>
      </c>
      <c r="Q120" s="24"/>
      <c r="R120" s="38"/>
      <c r="T120" s="2"/>
      <c r="U120" s="2"/>
      <c r="V120" s="24"/>
      <c r="W120" s="24"/>
      <c r="X120" s="24"/>
      <c r="Y120" s="24"/>
      <c r="Z120" s="24"/>
      <c r="AA120" s="24"/>
      <c r="AB120" s="24"/>
      <c r="AC120" s="25"/>
      <c r="AD120" s="25"/>
      <c r="AE120" s="25"/>
      <c r="AF120" s="25"/>
      <c r="AH120" s="10"/>
      <c r="AI120" s="25"/>
      <c r="AJ120" s="25"/>
      <c r="AL120" s="9"/>
      <c r="AP120" s="9"/>
      <c r="AQ120" s="9"/>
    </row>
    <row r="121" spans="1:43">
      <c r="A121" s="13">
        <v>20729</v>
      </c>
      <c r="B121" s="3">
        <v>21.8721</v>
      </c>
      <c r="C121" s="24">
        <v>63975</v>
      </c>
      <c r="D121" s="24">
        <v>52781</v>
      </c>
      <c r="E121" s="2">
        <v>3.9</v>
      </c>
      <c r="F121" s="33">
        <v>6.6189999999999999E-3</v>
      </c>
      <c r="G121" s="33">
        <v>5.0720000000000001E-3</v>
      </c>
      <c r="H121" s="25">
        <v>3.59</v>
      </c>
      <c r="I121" s="25">
        <v>4.17</v>
      </c>
      <c r="J121" s="25">
        <v>2.96</v>
      </c>
      <c r="K121" s="33"/>
      <c r="L121" s="25">
        <v>2.9</v>
      </c>
      <c r="M121" s="33">
        <v>12.7</v>
      </c>
      <c r="N121" s="9"/>
      <c r="O121" s="31">
        <v>109</v>
      </c>
      <c r="P121" s="38">
        <v>44.431739999999998</v>
      </c>
      <c r="Q121" s="24"/>
      <c r="R121" s="38"/>
      <c r="T121" s="2"/>
      <c r="U121" s="2"/>
      <c r="V121" s="24"/>
      <c r="W121" s="24"/>
      <c r="X121" s="24"/>
      <c r="Y121" s="24"/>
      <c r="Z121" s="24"/>
      <c r="AA121" s="24"/>
      <c r="AB121" s="24"/>
      <c r="AC121" s="25"/>
      <c r="AD121" s="25"/>
      <c r="AE121" s="25"/>
      <c r="AF121" s="25"/>
      <c r="AH121" s="10"/>
      <c r="AI121" s="25"/>
      <c r="AJ121" s="25"/>
      <c r="AL121" s="9"/>
      <c r="AP121" s="9"/>
      <c r="AQ121" s="9"/>
    </row>
    <row r="122" spans="1:43">
      <c r="A122" s="13">
        <v>20760</v>
      </c>
      <c r="B122" s="3">
        <v>21.684200000000001</v>
      </c>
      <c r="C122" s="24">
        <v>63796</v>
      </c>
      <c r="D122" s="24">
        <v>52822</v>
      </c>
      <c r="E122" s="2">
        <v>4.3</v>
      </c>
      <c r="F122" s="33">
        <v>-1.921E-3</v>
      </c>
      <c r="G122" s="33">
        <v>-1.0970000000000001E-2</v>
      </c>
      <c r="H122" s="25">
        <v>3.69</v>
      </c>
      <c r="I122" s="25">
        <v>4.24</v>
      </c>
      <c r="J122" s="25">
        <v>2.88</v>
      </c>
      <c r="K122" s="33"/>
      <c r="L122" s="25">
        <v>2.99</v>
      </c>
      <c r="M122" s="33">
        <v>12.7</v>
      </c>
      <c r="N122" s="9"/>
      <c r="O122" s="31">
        <v>111.9</v>
      </c>
      <c r="P122" s="38">
        <v>54.289909999999999</v>
      </c>
      <c r="Q122" s="24"/>
      <c r="R122" s="38"/>
      <c r="T122" s="2"/>
      <c r="U122" s="2"/>
      <c r="V122" s="24"/>
      <c r="W122" s="24"/>
      <c r="X122" s="24"/>
      <c r="Y122" s="24"/>
      <c r="Z122" s="24"/>
      <c r="AA122" s="24"/>
      <c r="AB122" s="24"/>
      <c r="AC122" s="25"/>
      <c r="AD122" s="25"/>
      <c r="AE122" s="25"/>
      <c r="AF122" s="25"/>
      <c r="AH122" s="10"/>
      <c r="AI122" s="25"/>
      <c r="AJ122" s="25"/>
      <c r="AL122" s="9"/>
      <c r="AP122" s="9"/>
      <c r="AQ122" s="9"/>
    </row>
    <row r="123" spans="1:43">
      <c r="A123" s="13">
        <v>20790</v>
      </c>
      <c r="B123" s="3">
        <v>22.0063</v>
      </c>
      <c r="C123" s="24">
        <v>63910</v>
      </c>
      <c r="D123" s="24">
        <v>52930</v>
      </c>
      <c r="E123" s="2">
        <v>4.2</v>
      </c>
      <c r="F123" s="33">
        <v>3.6283999999999997E-2</v>
      </c>
      <c r="G123" s="33">
        <v>3.5270999999999997E-2</v>
      </c>
      <c r="H123" s="25">
        <v>3.75</v>
      </c>
      <c r="I123" s="25">
        <v>4.37</v>
      </c>
      <c r="J123" s="25">
        <v>2.94</v>
      </c>
      <c r="K123" s="33"/>
      <c r="L123" s="25">
        <v>3.21</v>
      </c>
      <c r="M123" s="33">
        <v>12.8</v>
      </c>
      <c r="N123" s="9"/>
      <c r="O123" s="31">
        <v>112</v>
      </c>
      <c r="P123" s="38">
        <v>48.77713</v>
      </c>
      <c r="Q123" s="24"/>
      <c r="R123" s="38"/>
      <c r="T123" s="2"/>
      <c r="U123" s="2"/>
      <c r="V123" s="24"/>
      <c r="W123" s="24"/>
      <c r="X123" s="24"/>
      <c r="Y123" s="24"/>
      <c r="Z123" s="24"/>
      <c r="AA123" s="24"/>
      <c r="AB123" s="24"/>
      <c r="AC123" s="25"/>
      <c r="AD123" s="25"/>
      <c r="AE123" s="25"/>
      <c r="AF123" s="25"/>
      <c r="AH123" s="10"/>
      <c r="AI123" s="25"/>
      <c r="AJ123" s="25"/>
      <c r="AL123" s="9"/>
      <c r="AP123" s="9"/>
      <c r="AQ123" s="9"/>
    </row>
    <row r="124" spans="1:43">
      <c r="A124" s="13">
        <v>20821</v>
      </c>
      <c r="B124" s="3">
        <v>21.925799999999999</v>
      </c>
      <c r="C124" s="24">
        <v>63632</v>
      </c>
      <c r="D124" s="24">
        <v>52888</v>
      </c>
      <c r="E124" s="2">
        <v>4.2</v>
      </c>
      <c r="F124" s="33">
        <v>-4.0238000000000003E-2</v>
      </c>
      <c r="G124" s="33">
        <v>-4.1783000000000001E-2</v>
      </c>
      <c r="H124" s="25">
        <v>3.77</v>
      </c>
      <c r="I124" s="25">
        <v>4.49</v>
      </c>
      <c r="J124" s="25">
        <v>2.84</v>
      </c>
      <c r="K124" s="33"/>
      <c r="L124" s="25">
        <v>3.11</v>
      </c>
      <c r="M124" s="33">
        <v>13.2</v>
      </c>
      <c r="N124" s="9"/>
      <c r="O124" s="31">
        <v>109</v>
      </c>
      <c r="P124" s="38">
        <v>95.667019999999994</v>
      </c>
      <c r="Q124" s="24"/>
      <c r="R124" s="38"/>
      <c r="T124" s="2"/>
      <c r="U124" s="2"/>
      <c r="V124" s="24"/>
      <c r="W124" s="24"/>
      <c r="X124" s="24"/>
      <c r="Y124" s="24"/>
      <c r="Z124" s="24"/>
      <c r="AA124" s="24"/>
      <c r="AB124" s="24"/>
      <c r="AC124" s="25"/>
      <c r="AD124" s="25"/>
      <c r="AE124" s="25"/>
      <c r="AF124" s="25"/>
      <c r="AH124" s="10"/>
      <c r="AI124" s="25"/>
      <c r="AJ124" s="25"/>
      <c r="AL124" s="9"/>
      <c r="AP124" s="9"/>
      <c r="AQ124" s="9"/>
    </row>
    <row r="125" spans="1:43">
      <c r="A125" s="13">
        <v>20852</v>
      </c>
      <c r="B125" s="3">
        <v>22.140499999999999</v>
      </c>
      <c r="C125" s="24">
        <v>64257</v>
      </c>
      <c r="D125" s="24">
        <v>53098</v>
      </c>
      <c r="E125" s="2">
        <v>3.9</v>
      </c>
      <c r="F125" s="33">
        <v>-2.4919E-2</v>
      </c>
      <c r="G125" s="33">
        <v>-3.2648000000000003E-2</v>
      </c>
      <c r="H125" s="25">
        <v>3.67</v>
      </c>
      <c r="I125" s="25">
        <v>4.47</v>
      </c>
      <c r="J125" s="25">
        <v>3</v>
      </c>
      <c r="K125" s="33"/>
      <c r="L125" s="25">
        <v>3.1</v>
      </c>
      <c r="M125" s="33">
        <v>14</v>
      </c>
      <c r="N125" s="9"/>
      <c r="O125" s="31">
        <v>105.6</v>
      </c>
      <c r="P125" s="38">
        <v>48.032380000000003</v>
      </c>
      <c r="Q125" s="24"/>
      <c r="R125" s="38"/>
      <c r="T125" s="2"/>
      <c r="U125" s="2"/>
      <c r="V125" s="24"/>
      <c r="W125" s="24"/>
      <c r="X125" s="24"/>
      <c r="Y125" s="24"/>
      <c r="Z125" s="24"/>
      <c r="AA125" s="24"/>
      <c r="AB125" s="24"/>
      <c r="AC125" s="25"/>
      <c r="AD125" s="25"/>
      <c r="AE125" s="25"/>
      <c r="AF125" s="25"/>
      <c r="AH125" s="10"/>
      <c r="AI125" s="25"/>
      <c r="AJ125" s="25"/>
      <c r="AL125" s="9"/>
      <c r="AP125" s="9"/>
      <c r="AQ125" s="9"/>
    </row>
    <row r="126" spans="1:43">
      <c r="A126" s="13">
        <v>20880</v>
      </c>
      <c r="B126" s="3">
        <v>22.113600000000002</v>
      </c>
      <c r="C126" s="24">
        <v>64404</v>
      </c>
      <c r="D126" s="24">
        <v>53156</v>
      </c>
      <c r="E126" s="2">
        <v>3.7</v>
      </c>
      <c r="F126" s="33">
        <v>2.3798E-2</v>
      </c>
      <c r="G126" s="33">
        <v>1.9649E-2</v>
      </c>
      <c r="H126" s="25">
        <v>3.66</v>
      </c>
      <c r="I126" s="25">
        <v>4.43</v>
      </c>
      <c r="J126" s="25">
        <v>2.96</v>
      </c>
      <c r="K126" s="33"/>
      <c r="L126" s="25">
        <v>3.08</v>
      </c>
      <c r="M126" s="33">
        <v>14</v>
      </c>
      <c r="N126" s="9"/>
      <c r="O126" s="31">
        <v>105.3</v>
      </c>
      <c r="P126" s="38">
        <v>48.192540000000001</v>
      </c>
      <c r="Q126" s="24"/>
      <c r="R126" s="38"/>
      <c r="T126" s="2"/>
      <c r="U126" s="2"/>
      <c r="V126" s="24"/>
      <c r="W126" s="24"/>
      <c r="X126" s="24"/>
      <c r="Y126" s="24"/>
      <c r="Z126" s="24"/>
      <c r="AA126" s="24"/>
      <c r="AB126" s="24"/>
      <c r="AC126" s="25"/>
      <c r="AD126" s="25"/>
      <c r="AE126" s="25"/>
      <c r="AF126" s="25"/>
      <c r="AH126" s="10"/>
      <c r="AI126" s="25"/>
      <c r="AJ126" s="25"/>
      <c r="AL126" s="9"/>
      <c r="AP126" s="9"/>
      <c r="AQ126" s="9"/>
    </row>
    <row r="127" spans="1:43">
      <c r="A127" s="13">
        <v>20911</v>
      </c>
      <c r="B127" s="3">
        <v>21.8184</v>
      </c>
      <c r="C127" s="24">
        <v>64047</v>
      </c>
      <c r="D127" s="24">
        <v>53238</v>
      </c>
      <c r="E127" s="2">
        <v>3.9</v>
      </c>
      <c r="F127" s="33">
        <v>4.6408999999999999E-2</v>
      </c>
      <c r="G127" s="33">
        <v>3.6953E-2</v>
      </c>
      <c r="H127" s="25">
        <v>3.67</v>
      </c>
      <c r="I127" s="25">
        <v>4.4400000000000004</v>
      </c>
      <c r="J127" s="25">
        <v>3</v>
      </c>
      <c r="K127" s="33"/>
      <c r="L127" s="25">
        <v>3.07</v>
      </c>
      <c r="M127" s="33">
        <v>14</v>
      </c>
      <c r="N127" s="9"/>
      <c r="O127" s="31">
        <v>104.3</v>
      </c>
      <c r="P127" s="38">
        <v>50.914700000000003</v>
      </c>
      <c r="Q127" s="24"/>
      <c r="R127" s="38"/>
      <c r="T127" s="2"/>
      <c r="U127" s="2"/>
      <c r="V127" s="24"/>
      <c r="W127" s="24"/>
      <c r="X127" s="24"/>
      <c r="Y127" s="24"/>
      <c r="Z127" s="24"/>
      <c r="AA127" s="24"/>
      <c r="AB127" s="24"/>
      <c r="AC127" s="25"/>
      <c r="AD127" s="25"/>
      <c r="AE127" s="25"/>
      <c r="AF127" s="25"/>
      <c r="AH127" s="10"/>
      <c r="AI127" s="25"/>
      <c r="AJ127" s="25"/>
      <c r="AL127" s="9"/>
      <c r="AP127" s="9"/>
      <c r="AQ127" s="9"/>
    </row>
    <row r="128" spans="1:43">
      <c r="A128" s="13">
        <v>20941</v>
      </c>
      <c r="B128" s="3">
        <v>21.7379</v>
      </c>
      <c r="C128" s="24">
        <v>63985</v>
      </c>
      <c r="D128" s="24">
        <v>53149</v>
      </c>
      <c r="E128" s="2">
        <v>4.0999999999999996</v>
      </c>
      <c r="F128" s="33">
        <v>3.8628999999999997E-2</v>
      </c>
      <c r="G128" s="33">
        <v>3.6948000000000002E-2</v>
      </c>
      <c r="H128" s="25">
        <v>3.74</v>
      </c>
      <c r="I128" s="25">
        <v>4.5199999999999996</v>
      </c>
      <c r="J128" s="25">
        <v>3</v>
      </c>
      <c r="K128" s="33"/>
      <c r="L128" s="25">
        <v>3.06</v>
      </c>
      <c r="M128" s="33">
        <v>14</v>
      </c>
      <c r="N128" s="9"/>
      <c r="O128" s="31">
        <v>103.4</v>
      </c>
      <c r="P128" s="38">
        <v>61.070079999999997</v>
      </c>
      <c r="Q128" s="24"/>
      <c r="R128" s="38"/>
      <c r="T128" s="2"/>
      <c r="U128" s="2"/>
      <c r="V128" s="24"/>
      <c r="W128" s="24"/>
      <c r="X128" s="24"/>
      <c r="Y128" s="24"/>
      <c r="Z128" s="24"/>
      <c r="AA128" s="24"/>
      <c r="AB128" s="24"/>
      <c r="AC128" s="25"/>
      <c r="AD128" s="25"/>
      <c r="AE128" s="25"/>
      <c r="AF128" s="25"/>
      <c r="AH128" s="10"/>
      <c r="AI128" s="25"/>
      <c r="AJ128" s="25"/>
      <c r="AL128" s="9"/>
      <c r="AP128" s="9"/>
      <c r="AQ128" s="9"/>
    </row>
    <row r="129" spans="1:43">
      <c r="A129" s="13">
        <v>20972</v>
      </c>
      <c r="B129" s="3">
        <v>21.791599999999999</v>
      </c>
      <c r="C129" s="24">
        <v>64196</v>
      </c>
      <c r="D129" s="24">
        <v>53066</v>
      </c>
      <c r="E129" s="2">
        <v>4.3</v>
      </c>
      <c r="F129" s="33">
        <v>-7.7999999999999999E-4</v>
      </c>
      <c r="G129" s="33">
        <v>-1.2650000000000001E-3</v>
      </c>
      <c r="H129" s="25">
        <v>3.91</v>
      </c>
      <c r="I129" s="25">
        <v>4.63</v>
      </c>
      <c r="J129" s="25">
        <v>3</v>
      </c>
      <c r="K129" s="33"/>
      <c r="L129" s="25">
        <v>3.29</v>
      </c>
      <c r="M129" s="33">
        <v>14</v>
      </c>
      <c r="N129" s="9"/>
      <c r="O129" s="31">
        <v>104</v>
      </c>
      <c r="P129" s="38">
        <v>26.883559999999999</v>
      </c>
      <c r="Q129" s="24"/>
      <c r="R129" s="38"/>
      <c r="T129" s="2"/>
      <c r="U129" s="2"/>
      <c r="V129" s="24"/>
      <c r="W129" s="24"/>
      <c r="X129" s="24"/>
      <c r="Y129" s="24"/>
      <c r="Z129" s="24"/>
      <c r="AA129" s="24"/>
      <c r="AB129" s="24"/>
      <c r="AC129" s="25"/>
      <c r="AD129" s="25"/>
      <c r="AE129" s="25"/>
      <c r="AF129" s="25"/>
      <c r="AH129" s="10"/>
      <c r="AI129" s="25"/>
      <c r="AJ129" s="25"/>
      <c r="AL129" s="9"/>
      <c r="AP129" s="9"/>
      <c r="AQ129" s="9"/>
    </row>
    <row r="130" spans="1:43">
      <c r="A130" s="13">
        <v>21002</v>
      </c>
      <c r="B130" s="3">
        <v>21.925799999999999</v>
      </c>
      <c r="C130" s="24">
        <v>64540</v>
      </c>
      <c r="D130" s="24">
        <v>53122</v>
      </c>
      <c r="E130" s="2">
        <v>4.2</v>
      </c>
      <c r="F130" s="33">
        <v>9.6760000000000006E-3</v>
      </c>
      <c r="G130" s="33">
        <v>1.14E-2</v>
      </c>
      <c r="H130" s="25">
        <v>3.99</v>
      </c>
      <c r="I130" s="25">
        <v>4.7300000000000004</v>
      </c>
      <c r="J130" s="25">
        <v>2.99</v>
      </c>
      <c r="K130" s="33"/>
      <c r="L130" s="25">
        <v>3.16</v>
      </c>
      <c r="M130" s="33">
        <v>14</v>
      </c>
      <c r="N130" s="9"/>
      <c r="O130" s="31">
        <v>103.4</v>
      </c>
      <c r="P130" s="38">
        <v>61.562730000000002</v>
      </c>
      <c r="Q130" s="24"/>
      <c r="R130" s="38"/>
      <c r="T130" s="2"/>
      <c r="U130" s="2"/>
      <c r="V130" s="24"/>
      <c r="W130" s="24"/>
      <c r="X130" s="24"/>
      <c r="Y130" s="24"/>
      <c r="Z130" s="24"/>
      <c r="AA130" s="24"/>
      <c r="AB130" s="24"/>
      <c r="AC130" s="25"/>
      <c r="AD130" s="25"/>
      <c r="AE130" s="25"/>
      <c r="AF130" s="25"/>
      <c r="AH130" s="10"/>
      <c r="AI130" s="25"/>
      <c r="AJ130" s="25"/>
      <c r="AL130" s="9"/>
      <c r="AP130" s="9"/>
      <c r="AQ130" s="9"/>
    </row>
    <row r="131" spans="1:43">
      <c r="A131" s="13">
        <v>21033</v>
      </c>
      <c r="B131" s="3">
        <v>21.925799999999999</v>
      </c>
      <c r="C131" s="24">
        <v>63959</v>
      </c>
      <c r="D131" s="24">
        <v>53128</v>
      </c>
      <c r="E131" s="2">
        <v>4.0999999999999996</v>
      </c>
      <c r="F131" s="33">
        <v>-4.8925999999999997E-2</v>
      </c>
      <c r="G131" s="33">
        <v>-5.6147000000000002E-2</v>
      </c>
      <c r="H131" s="25">
        <v>4.0999999999999996</v>
      </c>
      <c r="I131" s="25">
        <v>4.82</v>
      </c>
      <c r="J131" s="25">
        <v>3.24</v>
      </c>
      <c r="K131" s="33"/>
      <c r="L131" s="25">
        <v>3.37</v>
      </c>
      <c r="M131" s="33">
        <v>14</v>
      </c>
      <c r="N131" s="9"/>
      <c r="O131" s="31">
        <v>102.7</v>
      </c>
      <c r="P131" s="38">
        <v>97.917590000000004</v>
      </c>
      <c r="Q131" s="24"/>
      <c r="R131" s="38"/>
      <c r="T131" s="2"/>
      <c r="U131" s="2"/>
      <c r="V131" s="24"/>
      <c r="W131" s="24"/>
      <c r="X131" s="24"/>
      <c r="Y131" s="24"/>
      <c r="Z131" s="24"/>
      <c r="AA131" s="24"/>
      <c r="AB131" s="24"/>
      <c r="AC131" s="25"/>
      <c r="AD131" s="25"/>
      <c r="AE131" s="25"/>
      <c r="AF131" s="25"/>
      <c r="AH131" s="10"/>
      <c r="AI131" s="25"/>
      <c r="AJ131" s="25"/>
      <c r="AL131" s="9"/>
      <c r="AP131" s="9"/>
      <c r="AQ131" s="9"/>
    </row>
    <row r="132" spans="1:43">
      <c r="A132" s="13">
        <v>21064</v>
      </c>
      <c r="B132" s="3">
        <v>21.7379</v>
      </c>
      <c r="C132" s="24">
        <v>64121</v>
      </c>
      <c r="D132" s="24">
        <v>52932</v>
      </c>
      <c r="E132" s="2">
        <v>4.4000000000000004</v>
      </c>
      <c r="F132" s="33">
        <v>-5.7914E-2</v>
      </c>
      <c r="G132" s="33">
        <v>-6.1920000000000003E-2</v>
      </c>
      <c r="H132" s="25">
        <v>4.12</v>
      </c>
      <c r="I132" s="25">
        <v>4.93</v>
      </c>
      <c r="J132" s="25">
        <v>3.47</v>
      </c>
      <c r="K132" s="33"/>
      <c r="L132" s="25">
        <v>3.53</v>
      </c>
      <c r="M132" s="33">
        <v>14</v>
      </c>
      <c r="N132" s="9"/>
      <c r="O132" s="31">
        <v>99.6</v>
      </c>
      <c r="P132" s="38">
        <v>42.058799999999998</v>
      </c>
      <c r="Q132" s="24"/>
      <c r="R132" s="38"/>
      <c r="T132" s="2"/>
      <c r="U132" s="2"/>
      <c r="V132" s="24"/>
      <c r="W132" s="24"/>
      <c r="X132" s="24"/>
      <c r="Y132" s="24"/>
      <c r="Z132" s="24"/>
      <c r="AA132" s="24"/>
      <c r="AB132" s="24"/>
      <c r="AC132" s="25"/>
      <c r="AD132" s="25"/>
      <c r="AE132" s="25"/>
      <c r="AF132" s="25"/>
      <c r="AH132" s="10"/>
      <c r="AI132" s="25"/>
      <c r="AJ132" s="25"/>
      <c r="AL132" s="9"/>
      <c r="AP132" s="9"/>
      <c r="AQ132" s="9"/>
    </row>
    <row r="133" spans="1:43">
      <c r="A133" s="13">
        <v>21094</v>
      </c>
      <c r="B133" s="3">
        <v>21.415900000000001</v>
      </c>
      <c r="C133" s="24">
        <v>64046</v>
      </c>
      <c r="D133" s="24">
        <v>52765</v>
      </c>
      <c r="E133" s="2">
        <v>4.5</v>
      </c>
      <c r="F133" s="33">
        <v>-3.8641000000000002E-2</v>
      </c>
      <c r="G133" s="33">
        <v>-3.2059999999999998E-2</v>
      </c>
      <c r="H133" s="25">
        <v>4.0999999999999996</v>
      </c>
      <c r="I133" s="25">
        <v>4.99</v>
      </c>
      <c r="J133" s="25">
        <v>3.5</v>
      </c>
      <c r="K133" s="33"/>
      <c r="L133" s="25">
        <v>3.58</v>
      </c>
      <c r="M133" s="33">
        <v>14</v>
      </c>
      <c r="N133" s="9"/>
      <c r="O133" s="31">
        <v>96.5</v>
      </c>
      <c r="P133" s="38">
        <v>30.058420000000002</v>
      </c>
      <c r="Q133" s="24"/>
      <c r="R133" s="38"/>
      <c r="T133" s="2"/>
      <c r="U133" s="2"/>
      <c r="V133" s="24"/>
      <c r="W133" s="24"/>
      <c r="X133" s="24"/>
      <c r="Y133" s="24"/>
      <c r="Z133" s="24"/>
      <c r="AA133" s="24"/>
      <c r="AB133" s="24"/>
      <c r="AC133" s="25"/>
      <c r="AD133" s="25"/>
      <c r="AE133" s="25"/>
      <c r="AF133" s="25"/>
      <c r="AH133" s="10"/>
      <c r="AI133" s="25"/>
      <c r="AJ133" s="25"/>
      <c r="AL133" s="9"/>
      <c r="AP133" s="9"/>
      <c r="AQ133" s="9"/>
    </row>
    <row r="134" spans="1:43">
      <c r="A134" s="13">
        <v>21125</v>
      </c>
      <c r="B134" s="3">
        <v>20.905999999999999</v>
      </c>
      <c r="C134" s="24">
        <v>63669</v>
      </c>
      <c r="D134" s="24">
        <v>52557</v>
      </c>
      <c r="E134" s="2">
        <v>5.0999999999999996</v>
      </c>
      <c r="F134" s="33">
        <v>2.3550999999999999E-2</v>
      </c>
      <c r="G134" s="33">
        <v>1.6074000000000001E-2</v>
      </c>
      <c r="H134" s="25">
        <v>4.08</v>
      </c>
      <c r="I134" s="25">
        <v>5.09</v>
      </c>
      <c r="J134" s="25">
        <v>3.28</v>
      </c>
      <c r="K134" s="33"/>
      <c r="L134" s="25">
        <v>3.31</v>
      </c>
      <c r="M134" s="33">
        <v>14</v>
      </c>
      <c r="N134" s="9"/>
      <c r="O134" s="31">
        <v>94.5</v>
      </c>
      <c r="P134" s="38">
        <v>43.480550000000001</v>
      </c>
      <c r="Q134" s="24"/>
      <c r="R134" s="38"/>
      <c r="T134" s="2"/>
      <c r="U134" s="2"/>
      <c r="V134" s="24"/>
      <c r="W134" s="24"/>
      <c r="X134" s="24"/>
      <c r="Y134" s="24"/>
      <c r="Z134" s="24"/>
      <c r="AA134" s="24"/>
      <c r="AB134" s="24"/>
      <c r="AC134" s="25"/>
      <c r="AD134" s="25"/>
      <c r="AE134" s="25"/>
      <c r="AF134" s="25"/>
      <c r="AH134" s="10"/>
      <c r="AI134" s="25"/>
      <c r="AJ134" s="25"/>
      <c r="AL134" s="9"/>
      <c r="AP134" s="9"/>
      <c r="AQ134" s="9"/>
    </row>
    <row r="135" spans="1:43">
      <c r="A135" s="13">
        <v>21155</v>
      </c>
      <c r="B135" s="3">
        <v>20.503399999999999</v>
      </c>
      <c r="C135" s="24">
        <v>63922</v>
      </c>
      <c r="D135" s="24">
        <v>52385</v>
      </c>
      <c r="E135" s="2">
        <v>5.2</v>
      </c>
      <c r="F135" s="33">
        <v>-3.7522E-2</v>
      </c>
      <c r="G135" s="33">
        <v>-4.1466999999999997E-2</v>
      </c>
      <c r="H135" s="25">
        <v>3.81</v>
      </c>
      <c r="I135" s="25">
        <v>5.03</v>
      </c>
      <c r="J135" s="25">
        <v>2.98</v>
      </c>
      <c r="K135" s="33"/>
      <c r="L135" s="25">
        <v>3.04</v>
      </c>
      <c r="M135" s="33">
        <v>14</v>
      </c>
      <c r="N135" s="9"/>
      <c r="O135" s="31">
        <v>93.9</v>
      </c>
      <c r="P135" s="38">
        <v>62.584539999999997</v>
      </c>
      <c r="Q135" s="24"/>
      <c r="R135" s="38"/>
      <c r="T135" s="2"/>
      <c r="U135" s="2"/>
      <c r="V135" s="24"/>
      <c r="W135" s="24"/>
      <c r="X135" s="24"/>
      <c r="Y135" s="24"/>
      <c r="Z135" s="24"/>
      <c r="AA135" s="24"/>
      <c r="AB135" s="24"/>
      <c r="AC135" s="25"/>
      <c r="AD135" s="25"/>
      <c r="AE135" s="25"/>
      <c r="AF135" s="25"/>
      <c r="AH135" s="10"/>
      <c r="AI135" s="25"/>
      <c r="AJ135" s="25"/>
      <c r="AL135" s="9"/>
      <c r="AP135" s="9"/>
      <c r="AQ135" s="9"/>
    </row>
    <row r="136" spans="1:43">
      <c r="A136" s="13">
        <v>21186</v>
      </c>
      <c r="B136" s="3">
        <v>20.127700000000001</v>
      </c>
      <c r="C136" s="24">
        <v>63220</v>
      </c>
      <c r="D136" s="24">
        <v>52077</v>
      </c>
      <c r="E136" s="2">
        <v>5.8</v>
      </c>
      <c r="F136" s="33">
        <v>4.5881999999999999E-2</v>
      </c>
      <c r="G136" s="33">
        <v>4.2761E-2</v>
      </c>
      <c r="H136" s="25">
        <v>3.6</v>
      </c>
      <c r="I136" s="25">
        <v>4.83</v>
      </c>
      <c r="J136" s="25">
        <v>2.72</v>
      </c>
      <c r="K136" s="33"/>
      <c r="L136" s="25">
        <v>2.44</v>
      </c>
      <c r="M136" s="33">
        <v>14</v>
      </c>
      <c r="N136" s="9"/>
      <c r="O136" s="31">
        <v>92.8</v>
      </c>
      <c r="P136" s="38">
        <v>71.317890000000006</v>
      </c>
      <c r="Q136" s="24"/>
      <c r="R136" s="38"/>
      <c r="T136" s="2"/>
      <c r="U136" s="2"/>
      <c r="V136" s="24"/>
      <c r="W136" s="24"/>
      <c r="X136" s="24"/>
      <c r="Y136" s="24"/>
      <c r="Z136" s="24"/>
      <c r="AA136" s="24"/>
      <c r="AB136" s="24"/>
      <c r="AC136" s="25"/>
      <c r="AD136" s="25"/>
      <c r="AE136" s="25"/>
      <c r="AF136" s="25"/>
      <c r="AH136" s="10"/>
      <c r="AI136" s="25"/>
      <c r="AJ136" s="25"/>
      <c r="AL136" s="9"/>
      <c r="AP136" s="9"/>
      <c r="AQ136" s="9"/>
    </row>
    <row r="137" spans="1:43">
      <c r="A137" s="13">
        <v>21217</v>
      </c>
      <c r="B137" s="3">
        <v>19.6983</v>
      </c>
      <c r="C137" s="24">
        <v>62898</v>
      </c>
      <c r="D137" s="24">
        <v>51576</v>
      </c>
      <c r="E137" s="2">
        <v>6.4</v>
      </c>
      <c r="F137" s="33">
        <v>-1.3963E-2</v>
      </c>
      <c r="G137" s="33">
        <v>-2.0624E-2</v>
      </c>
      <c r="H137" s="25">
        <v>3.59</v>
      </c>
      <c r="I137" s="25">
        <v>4.66</v>
      </c>
      <c r="J137" s="25">
        <v>1.67</v>
      </c>
      <c r="K137" s="33"/>
      <c r="L137" s="25">
        <v>1.53</v>
      </c>
      <c r="M137" s="33">
        <v>14</v>
      </c>
      <c r="N137" s="9"/>
      <c r="O137" s="31">
        <v>93</v>
      </c>
      <c r="P137" s="38">
        <v>62.444719999999997</v>
      </c>
      <c r="Q137" s="24"/>
      <c r="R137" s="38"/>
      <c r="T137" s="2"/>
      <c r="U137" s="2"/>
      <c r="V137" s="24"/>
      <c r="W137" s="24"/>
      <c r="X137" s="24"/>
      <c r="Y137" s="24"/>
      <c r="Z137" s="24"/>
      <c r="AA137" s="24"/>
      <c r="AB137" s="24"/>
      <c r="AC137" s="25"/>
      <c r="AD137" s="25"/>
      <c r="AE137" s="25"/>
      <c r="AF137" s="25"/>
      <c r="AH137" s="10"/>
      <c r="AI137" s="25"/>
      <c r="AJ137" s="25"/>
      <c r="AL137" s="9"/>
      <c r="AP137" s="9"/>
      <c r="AQ137" s="9"/>
    </row>
    <row r="138" spans="1:43">
      <c r="A138" s="13">
        <v>21245</v>
      </c>
      <c r="B138" s="3">
        <v>19.456800000000001</v>
      </c>
      <c r="C138" s="24">
        <v>62731</v>
      </c>
      <c r="D138" s="24">
        <v>51300</v>
      </c>
      <c r="E138" s="2">
        <v>6.7</v>
      </c>
      <c r="F138" s="33">
        <v>3.3119999999999997E-2</v>
      </c>
      <c r="G138" s="33">
        <v>3.0852000000000001E-2</v>
      </c>
      <c r="H138" s="25">
        <v>3.63</v>
      </c>
      <c r="I138" s="25">
        <v>4.68</v>
      </c>
      <c r="J138" s="25">
        <v>1.2</v>
      </c>
      <c r="K138" s="33"/>
      <c r="L138" s="25">
        <v>1.3</v>
      </c>
      <c r="M138" s="33">
        <v>14</v>
      </c>
      <c r="N138" s="9"/>
      <c r="O138" s="31">
        <v>92.2</v>
      </c>
      <c r="P138" s="38">
        <v>41.929360000000003</v>
      </c>
      <c r="Q138" s="24"/>
      <c r="R138" s="38"/>
      <c r="T138" s="2"/>
      <c r="U138" s="2"/>
      <c r="V138" s="24"/>
      <c r="W138" s="24"/>
      <c r="X138" s="24"/>
      <c r="Y138" s="24"/>
      <c r="Z138" s="24"/>
      <c r="AA138" s="24"/>
      <c r="AB138" s="24"/>
      <c r="AC138" s="25"/>
      <c r="AD138" s="25"/>
      <c r="AE138" s="25"/>
      <c r="AF138" s="25"/>
      <c r="AH138" s="10"/>
      <c r="AI138" s="25"/>
      <c r="AJ138" s="25"/>
      <c r="AL138" s="9"/>
      <c r="AP138" s="9"/>
      <c r="AQ138" s="9"/>
    </row>
    <row r="139" spans="1:43">
      <c r="A139" s="13">
        <v>21276</v>
      </c>
      <c r="B139" s="3">
        <v>19.134699999999999</v>
      </c>
      <c r="C139" s="24">
        <v>62631</v>
      </c>
      <c r="D139" s="24">
        <v>51026</v>
      </c>
      <c r="E139" s="2">
        <v>7.4</v>
      </c>
      <c r="F139" s="33">
        <v>3.3447999999999999E-2</v>
      </c>
      <c r="G139" s="33">
        <v>3.1829000000000003E-2</v>
      </c>
      <c r="H139" s="25">
        <v>3.6</v>
      </c>
      <c r="I139" s="25">
        <v>4.67</v>
      </c>
      <c r="J139" s="25">
        <v>1.26</v>
      </c>
      <c r="K139" s="33"/>
      <c r="L139" s="25">
        <v>1.1299999999999999</v>
      </c>
      <c r="M139" s="33">
        <v>14</v>
      </c>
      <c r="N139" s="9"/>
      <c r="O139" s="31">
        <v>89.8</v>
      </c>
      <c r="P139" s="38">
        <v>65.788889999999995</v>
      </c>
      <c r="Q139" s="24"/>
      <c r="R139" s="38"/>
      <c r="T139" s="2"/>
      <c r="U139" s="2"/>
      <c r="V139" s="24"/>
      <c r="W139" s="24"/>
      <c r="X139" s="24"/>
      <c r="Y139" s="24"/>
      <c r="Z139" s="24"/>
      <c r="AA139" s="24"/>
      <c r="AB139" s="24"/>
      <c r="AC139" s="25"/>
      <c r="AD139" s="25"/>
      <c r="AE139" s="25"/>
      <c r="AF139" s="25"/>
      <c r="AH139" s="10"/>
      <c r="AI139" s="25"/>
      <c r="AJ139" s="25"/>
      <c r="AL139" s="9"/>
      <c r="AP139" s="9"/>
      <c r="AQ139" s="9"/>
    </row>
    <row r="140" spans="1:43">
      <c r="A140" s="13">
        <v>21306</v>
      </c>
      <c r="B140" s="3">
        <v>19.322600000000001</v>
      </c>
      <c r="C140" s="24">
        <v>62874</v>
      </c>
      <c r="D140" s="24">
        <v>50913</v>
      </c>
      <c r="E140" s="2">
        <v>7.4</v>
      </c>
      <c r="F140" s="33">
        <v>2.1308000000000001E-2</v>
      </c>
      <c r="G140" s="33">
        <v>1.4963000000000001E-2</v>
      </c>
      <c r="H140" s="25">
        <v>3.57</v>
      </c>
      <c r="I140" s="25">
        <v>4.62</v>
      </c>
      <c r="J140" s="25">
        <v>0.63</v>
      </c>
      <c r="K140" s="33"/>
      <c r="L140" s="25">
        <v>0.91</v>
      </c>
      <c r="M140" s="33">
        <v>14</v>
      </c>
      <c r="N140" s="9"/>
      <c r="O140" s="31">
        <v>90.2</v>
      </c>
      <c r="P140" s="38">
        <v>65.351550000000003</v>
      </c>
      <c r="Q140" s="24"/>
      <c r="R140" s="38"/>
      <c r="T140" s="2"/>
      <c r="U140" s="2"/>
      <c r="V140" s="24"/>
      <c r="W140" s="24"/>
      <c r="X140" s="24"/>
      <c r="Y140" s="24"/>
      <c r="Z140" s="24"/>
      <c r="AA140" s="24"/>
      <c r="AB140" s="24"/>
      <c r="AC140" s="25"/>
      <c r="AD140" s="25"/>
      <c r="AE140" s="25"/>
      <c r="AF140" s="25"/>
      <c r="AH140" s="10"/>
      <c r="AI140" s="25"/>
      <c r="AJ140" s="25"/>
      <c r="AL140" s="9"/>
      <c r="AP140" s="9"/>
      <c r="AQ140" s="9"/>
    </row>
    <row r="141" spans="1:43">
      <c r="A141" s="13">
        <v>21337</v>
      </c>
      <c r="B141" s="3">
        <v>19.8325</v>
      </c>
      <c r="C141" s="24">
        <v>62730</v>
      </c>
      <c r="D141" s="24">
        <v>50912</v>
      </c>
      <c r="E141" s="2">
        <v>7.3</v>
      </c>
      <c r="F141" s="33">
        <v>2.8021999999999998E-2</v>
      </c>
      <c r="G141" s="33">
        <v>2.6082999999999999E-2</v>
      </c>
      <c r="H141" s="25">
        <v>3.57</v>
      </c>
      <c r="I141" s="25">
        <v>4.55</v>
      </c>
      <c r="J141" s="25">
        <v>0.93</v>
      </c>
      <c r="K141" s="33"/>
      <c r="L141" s="25">
        <v>0.83</v>
      </c>
      <c r="M141" s="33">
        <v>14</v>
      </c>
      <c r="N141" s="9"/>
      <c r="O141" s="31">
        <v>91.7</v>
      </c>
      <c r="P141" s="38">
        <v>59.381050000000002</v>
      </c>
      <c r="Q141" s="24"/>
      <c r="R141" s="38"/>
      <c r="T141" s="2"/>
      <c r="U141" s="2"/>
      <c r="V141" s="24"/>
      <c r="W141" s="24"/>
      <c r="X141" s="24"/>
      <c r="Y141" s="24"/>
      <c r="Z141" s="24"/>
      <c r="AA141" s="24"/>
      <c r="AB141" s="24"/>
      <c r="AC141" s="25"/>
      <c r="AD141" s="25"/>
      <c r="AE141" s="25"/>
      <c r="AF141" s="25"/>
      <c r="AH141" s="10"/>
      <c r="AI141" s="25"/>
      <c r="AJ141" s="25"/>
      <c r="AL141" s="9"/>
      <c r="AP141" s="9"/>
      <c r="AQ141" s="9"/>
    </row>
    <row r="142" spans="1:43">
      <c r="A142" s="13">
        <v>21367</v>
      </c>
      <c r="B142" s="3">
        <v>20.127700000000001</v>
      </c>
      <c r="C142" s="24">
        <v>62745</v>
      </c>
      <c r="D142" s="24">
        <v>51037</v>
      </c>
      <c r="E142" s="2">
        <v>7.5</v>
      </c>
      <c r="F142" s="33">
        <v>4.4040000000000003E-2</v>
      </c>
      <c r="G142" s="33">
        <v>4.3103000000000002E-2</v>
      </c>
      <c r="H142" s="25">
        <v>3.67</v>
      </c>
      <c r="I142" s="25">
        <v>4.53</v>
      </c>
      <c r="J142" s="25">
        <v>0.68</v>
      </c>
      <c r="K142" s="33"/>
      <c r="L142" s="25">
        <v>0.91</v>
      </c>
      <c r="M142" s="33">
        <v>13.9</v>
      </c>
      <c r="N142" s="9"/>
      <c r="O142" s="31">
        <v>94.3</v>
      </c>
      <c r="P142" s="38">
        <v>45.127490000000002</v>
      </c>
      <c r="Q142" s="24"/>
      <c r="R142" s="38"/>
      <c r="T142" s="2"/>
      <c r="U142" s="2"/>
      <c r="V142" s="24"/>
      <c r="W142" s="24"/>
      <c r="X142" s="24"/>
      <c r="Y142" s="24"/>
      <c r="Z142" s="24"/>
      <c r="AA142" s="24"/>
      <c r="AB142" s="24"/>
      <c r="AC142" s="25"/>
      <c r="AD142" s="25"/>
      <c r="AE142" s="25"/>
      <c r="AF142" s="25"/>
      <c r="AH142" s="10"/>
      <c r="AI142" s="25"/>
      <c r="AJ142" s="25"/>
      <c r="AL142" s="9"/>
      <c r="AP142" s="9"/>
      <c r="AQ142" s="9"/>
    </row>
    <row r="143" spans="1:43">
      <c r="A143" s="13">
        <v>21398</v>
      </c>
      <c r="B143" s="3">
        <v>20.530200000000001</v>
      </c>
      <c r="C143" s="24">
        <v>63012</v>
      </c>
      <c r="D143" s="24">
        <v>51233</v>
      </c>
      <c r="E143" s="2">
        <v>7.4</v>
      </c>
      <c r="F143" s="33">
        <v>1.7888000000000001E-2</v>
      </c>
      <c r="G143" s="33">
        <v>1.1867000000000001E-2</v>
      </c>
      <c r="H143" s="25">
        <v>3.85</v>
      </c>
      <c r="I143" s="25">
        <v>4.67</v>
      </c>
      <c r="J143" s="25">
        <v>1.53</v>
      </c>
      <c r="K143" s="33"/>
      <c r="L143" s="25">
        <v>1.69</v>
      </c>
      <c r="M143" s="33">
        <v>13.9</v>
      </c>
      <c r="N143" s="9"/>
      <c r="O143" s="31">
        <v>96</v>
      </c>
      <c r="P143" s="38">
        <v>38.184559999999998</v>
      </c>
      <c r="Q143" s="24"/>
      <c r="R143" s="38"/>
      <c r="T143" s="2"/>
      <c r="U143" s="2"/>
      <c r="V143" s="24"/>
      <c r="W143" s="24"/>
      <c r="X143" s="24"/>
      <c r="Y143" s="24"/>
      <c r="Z143" s="24"/>
      <c r="AA143" s="24"/>
      <c r="AB143" s="24"/>
      <c r="AC143" s="25"/>
      <c r="AD143" s="25"/>
      <c r="AE143" s="25"/>
      <c r="AF143" s="25"/>
      <c r="AH143" s="10"/>
      <c r="AI143" s="25"/>
      <c r="AJ143" s="25"/>
      <c r="AL143" s="9"/>
      <c r="AP143" s="9"/>
      <c r="AQ143" s="9"/>
    </row>
    <row r="144" spans="1:43">
      <c r="A144" s="13">
        <v>21429</v>
      </c>
      <c r="B144" s="3">
        <v>20.7181</v>
      </c>
      <c r="C144" s="24">
        <v>63181</v>
      </c>
      <c r="D144" s="24">
        <v>51506</v>
      </c>
      <c r="E144" s="2">
        <v>7.1</v>
      </c>
      <c r="F144" s="33">
        <v>5.0777000000000003E-2</v>
      </c>
      <c r="G144" s="33">
        <v>4.8377000000000003E-2</v>
      </c>
      <c r="H144" s="25">
        <v>4.09</v>
      </c>
      <c r="I144" s="25">
        <v>4.87</v>
      </c>
      <c r="J144" s="25">
        <v>1.76</v>
      </c>
      <c r="K144" s="33"/>
      <c r="L144" s="25">
        <v>2.44</v>
      </c>
      <c r="M144" s="33">
        <v>13.9</v>
      </c>
      <c r="N144" s="9"/>
      <c r="O144" s="31">
        <v>95.9</v>
      </c>
      <c r="P144" s="38">
        <v>36.597329999999999</v>
      </c>
      <c r="Q144" s="24"/>
      <c r="R144" s="38"/>
      <c r="T144" s="2"/>
      <c r="U144" s="2"/>
      <c r="V144" s="24"/>
      <c r="W144" s="24"/>
      <c r="X144" s="24"/>
      <c r="Y144" s="24"/>
      <c r="Z144" s="24"/>
      <c r="AA144" s="24"/>
      <c r="AB144" s="24"/>
      <c r="AC144" s="25"/>
      <c r="AD144" s="25"/>
      <c r="AE144" s="25"/>
      <c r="AF144" s="25"/>
      <c r="AH144" s="10"/>
      <c r="AI144" s="25"/>
      <c r="AJ144" s="25"/>
      <c r="AL144" s="9"/>
      <c r="AP144" s="9"/>
      <c r="AQ144" s="9"/>
    </row>
    <row r="145" spans="1:43">
      <c r="A145" s="13">
        <v>21459</v>
      </c>
      <c r="B145" s="3">
        <v>20.959599999999998</v>
      </c>
      <c r="C145" s="24">
        <v>63475</v>
      </c>
      <c r="D145" s="24">
        <v>51485</v>
      </c>
      <c r="E145" s="2">
        <v>6.7</v>
      </c>
      <c r="F145" s="33">
        <v>2.7720000000000002E-2</v>
      </c>
      <c r="G145" s="33">
        <v>2.537E-2</v>
      </c>
      <c r="H145" s="25">
        <v>4.1100000000000003</v>
      </c>
      <c r="I145" s="25">
        <v>4.92</v>
      </c>
      <c r="J145" s="25">
        <v>1.8</v>
      </c>
      <c r="K145" s="33"/>
      <c r="L145" s="25">
        <v>2.63</v>
      </c>
      <c r="M145" s="33">
        <v>13.9</v>
      </c>
      <c r="N145" s="9"/>
      <c r="O145" s="31">
        <v>98.9</v>
      </c>
      <c r="P145" s="38">
        <v>42.630549999999999</v>
      </c>
      <c r="Q145" s="24"/>
      <c r="R145" s="38"/>
      <c r="T145" s="2"/>
      <c r="U145" s="2"/>
      <c r="V145" s="24"/>
      <c r="W145" s="24"/>
      <c r="X145" s="24"/>
      <c r="Y145" s="24"/>
      <c r="Z145" s="24"/>
      <c r="AA145" s="24"/>
      <c r="AB145" s="24"/>
      <c r="AC145" s="25"/>
      <c r="AD145" s="25"/>
      <c r="AE145" s="25"/>
      <c r="AF145" s="25"/>
      <c r="AH145" s="10"/>
      <c r="AI145" s="25"/>
      <c r="AJ145" s="25"/>
      <c r="AL145" s="9"/>
      <c r="AP145" s="9"/>
      <c r="AQ145" s="9"/>
    </row>
    <row r="146" spans="1:43">
      <c r="A146" s="13">
        <v>21490</v>
      </c>
      <c r="B146" s="3">
        <v>21.576899999999998</v>
      </c>
      <c r="C146" s="24">
        <v>63470</v>
      </c>
      <c r="D146" s="24">
        <v>51943</v>
      </c>
      <c r="E146" s="2">
        <v>6.2</v>
      </c>
      <c r="F146" s="33">
        <v>2.8534E-2</v>
      </c>
      <c r="G146" s="33">
        <v>2.2404E-2</v>
      </c>
      <c r="H146" s="25">
        <v>4.09</v>
      </c>
      <c r="I146" s="25">
        <v>4.87</v>
      </c>
      <c r="J146" s="25">
        <v>2.27</v>
      </c>
      <c r="K146" s="33"/>
      <c r="L146" s="25">
        <v>2.67</v>
      </c>
      <c r="M146" s="33">
        <v>13.9</v>
      </c>
      <c r="N146" s="9"/>
      <c r="O146" s="31">
        <v>101.4</v>
      </c>
      <c r="P146" s="38">
        <v>52.373919999999998</v>
      </c>
      <c r="Q146" s="24"/>
      <c r="R146" s="38"/>
      <c r="T146" s="2"/>
      <c r="U146" s="2"/>
      <c r="V146" s="24"/>
      <c r="W146" s="24"/>
      <c r="X146" s="24"/>
      <c r="Y146" s="24"/>
      <c r="Z146" s="24"/>
      <c r="AA146" s="24"/>
      <c r="AB146" s="24"/>
      <c r="AC146" s="25"/>
      <c r="AD146" s="25"/>
      <c r="AE146" s="25"/>
      <c r="AF146" s="25"/>
      <c r="AH146" s="10"/>
      <c r="AI146" s="25"/>
      <c r="AJ146" s="25"/>
      <c r="AL146" s="9"/>
      <c r="AP146" s="9"/>
      <c r="AQ146" s="9"/>
    </row>
    <row r="147" spans="1:43">
      <c r="A147" s="13">
        <v>21520</v>
      </c>
      <c r="B147" s="3">
        <v>21.6037</v>
      </c>
      <c r="C147" s="24">
        <v>63549</v>
      </c>
      <c r="D147" s="24">
        <v>52088</v>
      </c>
      <c r="E147" s="2">
        <v>6.2</v>
      </c>
      <c r="F147" s="33">
        <v>5.3855E-2</v>
      </c>
      <c r="G147" s="33">
        <v>5.2019999999999997E-2</v>
      </c>
      <c r="H147" s="25">
        <v>4.08</v>
      </c>
      <c r="I147" s="25">
        <v>4.8499999999999996</v>
      </c>
      <c r="J147" s="25">
        <v>2.42</v>
      </c>
      <c r="K147" s="33"/>
      <c r="L147" s="25">
        <v>2.77</v>
      </c>
      <c r="M147" s="33">
        <v>13.9</v>
      </c>
      <c r="N147" s="9"/>
      <c r="O147" s="31">
        <v>99.9</v>
      </c>
      <c r="P147" s="38">
        <v>61.037579999999998</v>
      </c>
      <c r="Q147" s="24"/>
      <c r="R147" s="38"/>
      <c r="T147" s="2"/>
      <c r="U147" s="2"/>
      <c r="V147" s="24"/>
      <c r="W147" s="24"/>
      <c r="X147" s="24"/>
      <c r="Y147" s="24"/>
      <c r="Z147" s="24"/>
      <c r="AA147" s="24"/>
      <c r="AB147" s="24"/>
      <c r="AC147" s="25"/>
      <c r="AD147" s="25"/>
      <c r="AE147" s="25"/>
      <c r="AF147" s="25"/>
      <c r="AH147" s="10"/>
      <c r="AI147" s="25"/>
      <c r="AJ147" s="25"/>
      <c r="AL147" s="9"/>
      <c r="AP147" s="9"/>
      <c r="AQ147" s="9"/>
    </row>
    <row r="148" spans="1:43">
      <c r="A148" s="13">
        <v>21551</v>
      </c>
      <c r="B148" s="3">
        <v>21.925799999999999</v>
      </c>
      <c r="C148" s="24">
        <v>63868</v>
      </c>
      <c r="D148" s="24">
        <v>52481</v>
      </c>
      <c r="E148" s="2">
        <v>6</v>
      </c>
      <c r="F148" s="33">
        <v>6.4219999999999998E-3</v>
      </c>
      <c r="G148" s="33">
        <v>3.8040000000000001E-3</v>
      </c>
      <c r="H148" s="25">
        <v>4.12</v>
      </c>
      <c r="I148" s="25">
        <v>4.87</v>
      </c>
      <c r="J148" s="25">
        <v>2.48</v>
      </c>
      <c r="K148" s="33"/>
      <c r="L148" s="25">
        <v>2.82</v>
      </c>
      <c r="M148" s="33">
        <v>13.7</v>
      </c>
      <c r="N148" s="9"/>
      <c r="O148" s="31">
        <v>99.2</v>
      </c>
      <c r="P148" s="38">
        <v>58.837060000000001</v>
      </c>
      <c r="Q148" s="24"/>
      <c r="R148" s="38"/>
      <c r="T148" s="2"/>
      <c r="U148" s="2"/>
      <c r="V148" s="24"/>
      <c r="W148" s="24"/>
      <c r="X148" s="24"/>
      <c r="Y148" s="24"/>
      <c r="Z148" s="24"/>
      <c r="AA148" s="24"/>
      <c r="AB148" s="24"/>
      <c r="AC148" s="25"/>
      <c r="AD148" s="25"/>
      <c r="AE148" s="25"/>
      <c r="AF148" s="25"/>
      <c r="AH148" s="16"/>
      <c r="AI148" s="25"/>
      <c r="AJ148" s="25"/>
      <c r="AL148" s="9"/>
      <c r="AN148" s="9"/>
      <c r="AP148" s="9"/>
      <c r="AQ148" s="9"/>
    </row>
    <row r="149" spans="1:43">
      <c r="A149" s="13">
        <v>21582</v>
      </c>
      <c r="B149" s="3">
        <v>22.3552</v>
      </c>
      <c r="C149" s="24">
        <v>63684</v>
      </c>
      <c r="D149" s="24">
        <v>52687</v>
      </c>
      <c r="E149" s="2">
        <v>5.9</v>
      </c>
      <c r="F149" s="33">
        <v>6.7930000000000004E-3</v>
      </c>
      <c r="G149" s="33">
        <v>-1.8000000000000001E-4</v>
      </c>
      <c r="H149" s="25">
        <v>4.1399999999999997</v>
      </c>
      <c r="I149" s="25">
        <v>4.8899999999999997</v>
      </c>
      <c r="J149" s="25">
        <v>2.4300000000000002</v>
      </c>
      <c r="K149" s="33"/>
      <c r="L149" s="25">
        <v>2.7</v>
      </c>
      <c r="M149" s="33">
        <v>13.5</v>
      </c>
      <c r="N149" s="9"/>
      <c r="O149" s="31">
        <v>99.1</v>
      </c>
      <c r="P149" s="38">
        <v>49.97475</v>
      </c>
      <c r="Q149" s="24"/>
      <c r="R149" s="38"/>
      <c r="T149" s="2"/>
      <c r="U149" s="2"/>
      <c r="V149" s="24"/>
      <c r="W149" s="24"/>
      <c r="X149" s="24"/>
      <c r="Y149" s="24"/>
      <c r="Z149" s="24"/>
      <c r="AA149" s="24"/>
      <c r="AB149" s="24"/>
      <c r="AC149" s="25"/>
      <c r="AD149" s="25"/>
      <c r="AE149" s="25"/>
      <c r="AF149" s="25"/>
      <c r="AH149" s="16"/>
      <c r="AI149" s="25"/>
      <c r="AJ149" s="25"/>
      <c r="AL149" s="9"/>
      <c r="AN149" s="9"/>
      <c r="AP149" s="9"/>
      <c r="AQ149" s="9"/>
    </row>
    <row r="150" spans="1:43">
      <c r="A150" s="13">
        <v>21610</v>
      </c>
      <c r="B150" s="3">
        <v>22.677199999999999</v>
      </c>
      <c r="C150" s="24">
        <v>64267</v>
      </c>
      <c r="D150" s="24">
        <v>53016</v>
      </c>
      <c r="E150" s="2">
        <v>5.6</v>
      </c>
      <c r="F150" s="33">
        <v>3.1840000000000002E-3</v>
      </c>
      <c r="G150" s="33">
        <v>5.4100000000000003E-4</v>
      </c>
      <c r="H150" s="25">
        <v>4.13</v>
      </c>
      <c r="I150" s="25">
        <v>4.8499999999999996</v>
      </c>
      <c r="J150" s="25">
        <v>2.8</v>
      </c>
      <c r="K150" s="33"/>
      <c r="L150" s="25">
        <v>2.8</v>
      </c>
      <c r="M150" s="33">
        <v>13.5</v>
      </c>
      <c r="N150" s="9"/>
      <c r="O150" s="31">
        <v>100.7</v>
      </c>
      <c r="P150" s="38">
        <v>40.166530000000002</v>
      </c>
      <c r="Q150" s="24"/>
      <c r="R150" s="38"/>
      <c r="T150" s="2"/>
      <c r="U150" s="2"/>
      <c r="V150" s="24"/>
      <c r="W150" s="24"/>
      <c r="X150" s="24"/>
      <c r="Y150" s="24"/>
      <c r="Z150" s="24"/>
      <c r="AA150" s="24"/>
      <c r="AB150" s="24"/>
      <c r="AC150" s="25"/>
      <c r="AD150" s="25"/>
      <c r="AE150" s="25"/>
      <c r="AF150" s="25"/>
      <c r="AH150" s="16"/>
      <c r="AI150" s="25"/>
      <c r="AJ150" s="25"/>
      <c r="AL150" s="9"/>
      <c r="AN150" s="9"/>
      <c r="AP150" s="9"/>
      <c r="AQ150" s="9"/>
    </row>
    <row r="151" spans="1:43">
      <c r="A151" s="13">
        <v>21641</v>
      </c>
      <c r="B151" s="3">
        <v>23.160299999999999</v>
      </c>
      <c r="C151" s="24">
        <v>64768</v>
      </c>
      <c r="D151" s="24">
        <v>53320</v>
      </c>
      <c r="E151" s="2">
        <v>5.2</v>
      </c>
      <c r="F151" s="33">
        <v>4.0104000000000001E-2</v>
      </c>
      <c r="G151" s="33">
        <v>3.8781000000000003E-2</v>
      </c>
      <c r="H151" s="25">
        <v>4.2300000000000004</v>
      </c>
      <c r="I151" s="25">
        <v>4.8600000000000003</v>
      </c>
      <c r="J151" s="25">
        <v>2.96</v>
      </c>
      <c r="K151" s="33"/>
      <c r="L151" s="25">
        <v>2.95</v>
      </c>
      <c r="M151" s="33">
        <v>13.6</v>
      </c>
      <c r="N151" s="9"/>
      <c r="O151" s="31">
        <v>101.7</v>
      </c>
      <c r="P151" s="38">
        <v>45.767800000000001</v>
      </c>
      <c r="Q151" s="24"/>
      <c r="R151" s="38"/>
      <c r="T151" s="2"/>
      <c r="U151" s="2"/>
      <c r="V151" s="24"/>
      <c r="W151" s="24"/>
      <c r="X151" s="24"/>
      <c r="Y151" s="24"/>
      <c r="Z151" s="24"/>
      <c r="AA151" s="24"/>
      <c r="AB151" s="24"/>
      <c r="AC151" s="25"/>
      <c r="AD151" s="25"/>
      <c r="AE151" s="25"/>
      <c r="AF151" s="25"/>
      <c r="AH151" s="16"/>
      <c r="AI151" s="25"/>
      <c r="AJ151" s="25"/>
      <c r="AL151" s="9"/>
      <c r="AN151" s="9"/>
      <c r="AP151" s="9"/>
      <c r="AQ151" s="9"/>
    </row>
    <row r="152" spans="1:43">
      <c r="A152" s="13">
        <v>21671</v>
      </c>
      <c r="B152" s="3">
        <v>23.5092</v>
      </c>
      <c r="C152" s="24">
        <v>64699</v>
      </c>
      <c r="D152" s="24">
        <v>53549</v>
      </c>
      <c r="E152" s="2">
        <v>5.0999999999999996</v>
      </c>
      <c r="F152" s="33">
        <v>2.351E-2</v>
      </c>
      <c r="G152" s="33">
        <v>1.8926999999999999E-2</v>
      </c>
      <c r="H152" s="25">
        <v>4.37</v>
      </c>
      <c r="I152" s="25">
        <v>4.96</v>
      </c>
      <c r="J152" s="25">
        <v>2.9</v>
      </c>
      <c r="K152" s="33"/>
      <c r="L152" s="25">
        <v>2.84</v>
      </c>
      <c r="M152" s="33">
        <v>13.6</v>
      </c>
      <c r="N152" s="9"/>
      <c r="O152" s="31">
        <v>102.4</v>
      </c>
      <c r="P152" s="38">
        <v>28.04758</v>
      </c>
      <c r="Q152" s="24"/>
      <c r="R152" s="38"/>
      <c r="T152" s="2"/>
      <c r="U152" s="2"/>
      <c r="V152" s="24"/>
      <c r="W152" s="24"/>
      <c r="X152" s="24"/>
      <c r="Y152" s="24"/>
      <c r="Z152" s="24"/>
      <c r="AA152" s="24"/>
      <c r="AB152" s="24"/>
      <c r="AC152" s="25"/>
      <c r="AD152" s="25"/>
      <c r="AE152" s="25"/>
      <c r="AF152" s="25"/>
      <c r="AH152" s="16"/>
      <c r="AI152" s="25"/>
      <c r="AJ152" s="25"/>
      <c r="AL152" s="9"/>
      <c r="AN152" s="9"/>
      <c r="AP152" s="9"/>
      <c r="AQ152" s="9"/>
    </row>
    <row r="153" spans="1:43">
      <c r="A153" s="13">
        <v>21702</v>
      </c>
      <c r="B153" s="3">
        <v>23.536000000000001</v>
      </c>
      <c r="C153" s="24">
        <v>64849</v>
      </c>
      <c r="D153" s="24">
        <v>53678</v>
      </c>
      <c r="E153" s="2">
        <v>5</v>
      </c>
      <c r="F153" s="33">
        <v>-8.61E-4</v>
      </c>
      <c r="G153" s="33">
        <v>-3.5790000000000001E-3</v>
      </c>
      <c r="H153" s="25">
        <v>4.46</v>
      </c>
      <c r="I153" s="25">
        <v>5.04</v>
      </c>
      <c r="J153" s="25">
        <v>3.39</v>
      </c>
      <c r="K153" s="33"/>
      <c r="L153" s="25">
        <v>3.21</v>
      </c>
      <c r="M153" s="33">
        <v>13.6</v>
      </c>
      <c r="N153" s="9"/>
      <c r="O153" s="31">
        <v>102.8</v>
      </c>
      <c r="P153" s="38">
        <v>37.081440000000001</v>
      </c>
      <c r="Q153" s="24"/>
      <c r="R153" s="38"/>
      <c r="T153" s="2"/>
      <c r="U153" s="2"/>
      <c r="V153" s="24"/>
      <c r="W153" s="24"/>
      <c r="X153" s="24"/>
      <c r="Y153" s="24"/>
      <c r="Z153" s="24"/>
      <c r="AA153" s="24"/>
      <c r="AB153" s="24"/>
      <c r="AC153" s="25"/>
      <c r="AD153" s="25"/>
      <c r="AE153" s="25"/>
      <c r="AF153" s="25"/>
      <c r="AH153" s="16"/>
      <c r="AI153" s="25"/>
      <c r="AJ153" s="25"/>
      <c r="AL153" s="9"/>
      <c r="AN153" s="9"/>
      <c r="AP153" s="9"/>
      <c r="AQ153" s="9"/>
    </row>
    <row r="154" spans="1:43">
      <c r="A154" s="13">
        <v>21732</v>
      </c>
      <c r="B154" s="3">
        <v>22.9724</v>
      </c>
      <c r="C154" s="24">
        <v>65011</v>
      </c>
      <c r="D154" s="24">
        <v>53803</v>
      </c>
      <c r="E154" s="2">
        <v>5.0999999999999996</v>
      </c>
      <c r="F154" s="33">
        <v>3.4324E-2</v>
      </c>
      <c r="G154" s="33">
        <v>3.4889999999999997E-2</v>
      </c>
      <c r="H154" s="25">
        <v>4.47</v>
      </c>
      <c r="I154" s="25">
        <v>5.08</v>
      </c>
      <c r="J154" s="25">
        <v>3.47</v>
      </c>
      <c r="K154" s="33"/>
      <c r="L154" s="25">
        <v>3.2</v>
      </c>
      <c r="M154" s="33">
        <v>13.6</v>
      </c>
      <c r="N154" s="9"/>
      <c r="O154" s="31">
        <v>102.8</v>
      </c>
      <c r="P154" s="38">
        <v>36.87323</v>
      </c>
      <c r="Q154" s="24"/>
      <c r="R154" s="38"/>
      <c r="T154" s="2"/>
      <c r="U154" s="2"/>
      <c r="V154" s="24"/>
      <c r="W154" s="24"/>
      <c r="X154" s="24"/>
      <c r="Y154" s="24"/>
      <c r="Z154" s="24"/>
      <c r="AA154" s="24"/>
      <c r="AB154" s="24"/>
      <c r="AC154" s="25"/>
      <c r="AD154" s="25"/>
      <c r="AE154" s="25"/>
      <c r="AF154" s="25"/>
      <c r="AH154" s="16"/>
      <c r="AI154" s="25"/>
      <c r="AJ154" s="25"/>
      <c r="AL154" s="9"/>
      <c r="AN154" s="9"/>
      <c r="AP154" s="9"/>
      <c r="AQ154" s="9"/>
    </row>
    <row r="155" spans="1:43">
      <c r="A155" s="13">
        <v>21763</v>
      </c>
      <c r="B155" s="3">
        <v>22.194099999999999</v>
      </c>
      <c r="C155" s="24">
        <v>64844</v>
      </c>
      <c r="D155" s="24">
        <v>53337</v>
      </c>
      <c r="E155" s="2">
        <v>5.2</v>
      </c>
      <c r="F155" s="33">
        <v>-1.1055000000000001E-2</v>
      </c>
      <c r="G155" s="33">
        <v>-1.5039E-2</v>
      </c>
      <c r="H155" s="25">
        <v>4.43</v>
      </c>
      <c r="I155" s="25">
        <v>5.09</v>
      </c>
      <c r="J155" s="25">
        <v>3.5</v>
      </c>
      <c r="K155" s="33"/>
      <c r="L155" s="25">
        <v>3.38</v>
      </c>
      <c r="M155" s="33">
        <v>13.6</v>
      </c>
      <c r="N155" s="9"/>
      <c r="O155" s="31">
        <v>103.3</v>
      </c>
      <c r="P155" s="38">
        <v>35.340760000000003</v>
      </c>
      <c r="Q155" s="24"/>
      <c r="R155" s="38"/>
      <c r="T155" s="2"/>
      <c r="U155" s="2"/>
      <c r="V155" s="24"/>
      <c r="W155" s="24"/>
      <c r="X155" s="24"/>
      <c r="Y155" s="24"/>
      <c r="Z155" s="24"/>
      <c r="AA155" s="24"/>
      <c r="AB155" s="24"/>
      <c r="AC155" s="25"/>
      <c r="AD155" s="25"/>
      <c r="AE155" s="25"/>
      <c r="AF155" s="25"/>
      <c r="AH155" s="16"/>
      <c r="AI155" s="25"/>
      <c r="AJ155" s="25"/>
      <c r="AL155" s="9"/>
      <c r="AN155" s="9"/>
      <c r="AP155" s="9"/>
      <c r="AQ155" s="9"/>
    </row>
    <row r="156" spans="1:43">
      <c r="A156" s="13">
        <v>21794</v>
      </c>
      <c r="B156" s="3">
        <v>22.167300000000001</v>
      </c>
      <c r="C156" s="24">
        <v>64770</v>
      </c>
      <c r="D156" s="24">
        <v>53428</v>
      </c>
      <c r="E156" s="2">
        <v>5.5</v>
      </c>
      <c r="F156" s="33">
        <v>-4.3063999999999998E-2</v>
      </c>
      <c r="G156" s="33">
        <v>-4.5637999999999998E-2</v>
      </c>
      <c r="H156" s="25">
        <v>4.5199999999999996</v>
      </c>
      <c r="I156" s="25">
        <v>5.18</v>
      </c>
      <c r="J156" s="25">
        <v>3.76</v>
      </c>
      <c r="K156" s="33"/>
      <c r="L156" s="25">
        <v>4.04</v>
      </c>
      <c r="M156" s="33">
        <v>13.4</v>
      </c>
      <c r="N156" s="9"/>
      <c r="O156" s="31">
        <v>104.7</v>
      </c>
      <c r="P156" s="38">
        <v>44.1678</v>
      </c>
      <c r="Q156" s="24"/>
      <c r="R156" s="38"/>
      <c r="T156" s="2"/>
      <c r="U156" s="2"/>
      <c r="V156" s="24"/>
      <c r="W156" s="24"/>
      <c r="X156" s="24"/>
      <c r="Y156" s="24"/>
      <c r="Z156" s="24"/>
      <c r="AA156" s="24"/>
      <c r="AB156" s="24"/>
      <c r="AC156" s="25"/>
      <c r="AD156" s="25"/>
      <c r="AE156" s="25"/>
      <c r="AF156" s="25"/>
      <c r="AH156" s="16"/>
      <c r="AI156" s="25"/>
      <c r="AJ156" s="25"/>
      <c r="AL156" s="9"/>
      <c r="AN156" s="9"/>
      <c r="AP156" s="9"/>
      <c r="AQ156" s="9"/>
    </row>
    <row r="157" spans="1:43">
      <c r="A157" s="13">
        <v>21824</v>
      </c>
      <c r="B157" s="3">
        <v>22.0063</v>
      </c>
      <c r="C157" s="24">
        <v>64911</v>
      </c>
      <c r="D157" s="24">
        <v>53359</v>
      </c>
      <c r="E157" s="2">
        <v>5.7</v>
      </c>
      <c r="F157" s="33">
        <v>1.2501999999999999E-2</v>
      </c>
      <c r="G157" s="33">
        <v>1.1252E-2</v>
      </c>
      <c r="H157" s="25">
        <v>4.57</v>
      </c>
      <c r="I157" s="25">
        <v>5.28</v>
      </c>
      <c r="J157" s="25">
        <v>3.98</v>
      </c>
      <c r="K157" s="33"/>
      <c r="L157" s="25">
        <v>4.05</v>
      </c>
      <c r="M157" s="33">
        <v>13.4</v>
      </c>
      <c r="N157" s="9"/>
      <c r="O157" s="31">
        <v>105.4</v>
      </c>
      <c r="P157" s="38">
        <v>29.24738</v>
      </c>
      <c r="Q157" s="24"/>
      <c r="R157" s="38"/>
      <c r="T157" s="2"/>
      <c r="U157" s="2"/>
      <c r="V157" s="24"/>
      <c r="W157" s="24"/>
      <c r="X157" s="24"/>
      <c r="Y157" s="24"/>
      <c r="Z157" s="24"/>
      <c r="AA157" s="24"/>
      <c r="AB157" s="24"/>
      <c r="AC157" s="25"/>
      <c r="AD157" s="25"/>
      <c r="AE157" s="25"/>
      <c r="AF157" s="25"/>
      <c r="AH157" s="16"/>
      <c r="AI157" s="25"/>
      <c r="AJ157" s="25"/>
      <c r="AL157" s="9"/>
      <c r="AN157" s="9"/>
      <c r="AP157" s="9"/>
      <c r="AQ157" s="9"/>
    </row>
    <row r="158" spans="1:43">
      <c r="A158" s="13">
        <v>21855</v>
      </c>
      <c r="B158" s="3">
        <v>22.140499999999999</v>
      </c>
      <c r="C158" s="24">
        <v>64530</v>
      </c>
      <c r="D158" s="24">
        <v>53635</v>
      </c>
      <c r="E158" s="2">
        <v>5.8</v>
      </c>
      <c r="F158" s="33">
        <v>1.8377999999999999E-2</v>
      </c>
      <c r="G158" s="33">
        <v>1.3213000000000001E-2</v>
      </c>
      <c r="H158" s="25">
        <v>4.5599999999999996</v>
      </c>
      <c r="I158" s="25">
        <v>5.26</v>
      </c>
      <c r="J158" s="25">
        <v>4</v>
      </c>
      <c r="K158" s="33"/>
      <c r="L158" s="25">
        <v>4.1500000000000004</v>
      </c>
      <c r="M158" s="33">
        <v>13.4</v>
      </c>
      <c r="N158" s="9"/>
      <c r="O158" s="31">
        <v>105.5</v>
      </c>
      <c r="P158" s="38">
        <v>30.02421</v>
      </c>
      <c r="Q158" s="24"/>
      <c r="R158" s="38"/>
      <c r="T158" s="2"/>
      <c r="U158" s="2"/>
      <c r="V158" s="24"/>
      <c r="W158" s="24"/>
      <c r="X158" s="24"/>
      <c r="Y158" s="24"/>
      <c r="Z158" s="24"/>
      <c r="AA158" s="24"/>
      <c r="AB158" s="24"/>
      <c r="AC158" s="25"/>
      <c r="AD158" s="25"/>
      <c r="AE158" s="25"/>
      <c r="AF158" s="25"/>
      <c r="AH158" s="16"/>
      <c r="AI158" s="25"/>
      <c r="AJ158" s="25"/>
      <c r="AL158" s="9"/>
      <c r="AN158" s="9"/>
      <c r="AP158" s="9"/>
      <c r="AQ158" s="9"/>
    </row>
    <row r="159" spans="1:43">
      <c r="A159" s="13">
        <v>21885</v>
      </c>
      <c r="B159" s="3">
        <v>23.5091</v>
      </c>
      <c r="C159" s="24">
        <v>65341</v>
      </c>
      <c r="D159" s="24">
        <v>54175</v>
      </c>
      <c r="E159" s="2">
        <v>5.3</v>
      </c>
      <c r="F159" s="33">
        <v>2.9575000000000001E-2</v>
      </c>
      <c r="G159" s="33">
        <v>2.7625E-2</v>
      </c>
      <c r="H159" s="25">
        <v>4.58</v>
      </c>
      <c r="I159" s="25">
        <v>5.28</v>
      </c>
      <c r="J159" s="25">
        <v>3.99</v>
      </c>
      <c r="K159" s="33"/>
      <c r="L159" s="25">
        <v>4.49</v>
      </c>
      <c r="M159" s="33">
        <v>13.4</v>
      </c>
      <c r="N159" s="9"/>
      <c r="O159" s="31">
        <v>104.4</v>
      </c>
      <c r="P159" s="38">
        <v>35.166110000000003</v>
      </c>
      <c r="Q159" s="24"/>
      <c r="R159" s="38"/>
      <c r="T159" s="2"/>
      <c r="U159" s="2"/>
      <c r="V159" s="24"/>
      <c r="W159" s="24"/>
      <c r="X159" s="24"/>
      <c r="Y159" s="24"/>
      <c r="Z159" s="24"/>
      <c r="AA159" s="24"/>
      <c r="AB159" s="24"/>
      <c r="AC159" s="25"/>
      <c r="AD159" s="25"/>
      <c r="AE159" s="25"/>
      <c r="AF159" s="25"/>
      <c r="AH159" s="16"/>
      <c r="AI159" s="25"/>
      <c r="AJ159" s="25"/>
      <c r="AL159" s="9"/>
      <c r="AN159" s="9"/>
      <c r="AP159" s="9"/>
      <c r="AQ159" s="9"/>
    </row>
    <row r="160" spans="1:43">
      <c r="A160" s="13">
        <v>21916</v>
      </c>
      <c r="B160" s="3">
        <v>24.1264</v>
      </c>
      <c r="C160" s="24">
        <v>65347</v>
      </c>
      <c r="D160" s="24">
        <v>54274</v>
      </c>
      <c r="E160" s="2">
        <v>5.2</v>
      </c>
      <c r="F160" s="33">
        <v>-7.0042999999999994E-2</v>
      </c>
      <c r="G160" s="33">
        <v>-7.1464E-2</v>
      </c>
      <c r="H160" s="25">
        <v>4.6100000000000003</v>
      </c>
      <c r="I160" s="25">
        <v>5.34</v>
      </c>
      <c r="J160" s="25">
        <v>3.99</v>
      </c>
      <c r="K160" s="33"/>
      <c r="L160" s="25">
        <v>4.3499999999999996</v>
      </c>
      <c r="M160" s="33">
        <v>13.4</v>
      </c>
      <c r="N160" s="9"/>
      <c r="O160" s="31">
        <v>105.3</v>
      </c>
      <c r="P160" s="38">
        <v>60.33081</v>
      </c>
      <c r="Q160" s="24"/>
      <c r="R160" s="38"/>
      <c r="T160" s="2"/>
      <c r="U160" s="2"/>
      <c r="V160" s="24"/>
      <c r="W160" s="24"/>
      <c r="X160" s="24"/>
      <c r="Y160" s="24"/>
      <c r="Z160" s="24"/>
      <c r="AA160" s="24"/>
      <c r="AB160" s="24"/>
      <c r="AC160" s="25"/>
      <c r="AD160" s="25"/>
      <c r="AE160" s="25"/>
      <c r="AF160" s="25"/>
      <c r="AH160" s="16"/>
      <c r="AI160" s="25"/>
      <c r="AJ160" s="25"/>
      <c r="AL160" s="9"/>
      <c r="AN160" s="9"/>
      <c r="AP160" s="9"/>
      <c r="AQ160" s="9"/>
    </row>
    <row r="161" spans="1:43">
      <c r="A161" s="13">
        <v>21947</v>
      </c>
      <c r="B161" s="3">
        <v>23.9117</v>
      </c>
      <c r="C161" s="24">
        <v>65620</v>
      </c>
      <c r="D161" s="24">
        <v>54513</v>
      </c>
      <c r="E161" s="2">
        <v>4.8</v>
      </c>
      <c r="F161" s="33">
        <v>1.3668E-2</v>
      </c>
      <c r="G161" s="33">
        <v>9.1710000000000003E-3</v>
      </c>
      <c r="H161" s="25">
        <v>4.5599999999999996</v>
      </c>
      <c r="I161" s="25">
        <v>5.34</v>
      </c>
      <c r="J161" s="25">
        <v>3.97</v>
      </c>
      <c r="K161" s="33"/>
      <c r="L161" s="25">
        <v>3.96</v>
      </c>
      <c r="M161" s="33">
        <v>13.4</v>
      </c>
      <c r="N161" s="9">
        <v>-0.56752000000000002</v>
      </c>
      <c r="O161" s="31">
        <v>103.9</v>
      </c>
      <c r="P161" s="38">
        <v>35.40793</v>
      </c>
      <c r="Q161" s="24"/>
      <c r="R161" s="38"/>
      <c r="T161" s="2"/>
      <c r="U161" s="2"/>
      <c r="V161" s="24"/>
      <c r="W161" s="24"/>
      <c r="X161" s="24"/>
      <c r="Y161" s="24"/>
      <c r="Z161" s="24"/>
      <c r="AA161" s="24"/>
      <c r="AB161" s="24"/>
      <c r="AC161" s="25"/>
      <c r="AD161" s="25"/>
      <c r="AE161" s="25"/>
      <c r="AF161" s="25"/>
      <c r="AH161" s="16"/>
      <c r="AI161" s="25"/>
      <c r="AJ161" s="25"/>
      <c r="AL161" s="9"/>
      <c r="AN161" s="9"/>
      <c r="AP161" s="9"/>
      <c r="AQ161" s="9"/>
    </row>
    <row r="162" spans="1:43">
      <c r="A162" s="13">
        <v>21976</v>
      </c>
      <c r="B162" s="3">
        <v>23.696999999999999</v>
      </c>
      <c r="C162" s="24">
        <v>64673</v>
      </c>
      <c r="D162" s="24">
        <v>54458</v>
      </c>
      <c r="E162" s="2">
        <v>5.4</v>
      </c>
      <c r="F162" s="33">
        <v>-1.259E-2</v>
      </c>
      <c r="G162" s="33">
        <v>-1.3899E-2</v>
      </c>
      <c r="H162" s="25">
        <v>4.49</v>
      </c>
      <c r="I162" s="25">
        <v>5.25</v>
      </c>
      <c r="J162" s="25">
        <v>3.84</v>
      </c>
      <c r="K162" s="33"/>
      <c r="L162" s="25">
        <v>3.31</v>
      </c>
      <c r="M162" s="33">
        <v>13.4</v>
      </c>
      <c r="N162" s="9">
        <v>-1.6281000000000001</v>
      </c>
      <c r="O162" s="31">
        <v>102</v>
      </c>
      <c r="P162" s="38">
        <v>39.870649999999998</v>
      </c>
      <c r="Q162" s="24"/>
      <c r="R162" s="38"/>
      <c r="T162" s="2"/>
      <c r="U162" s="2"/>
      <c r="V162" s="24"/>
      <c r="W162" s="24"/>
      <c r="X162" s="24"/>
      <c r="Y162" s="24"/>
      <c r="Z162" s="24"/>
      <c r="AA162" s="24"/>
      <c r="AB162" s="24"/>
      <c r="AC162" s="25"/>
      <c r="AD162" s="25"/>
      <c r="AE162" s="25"/>
      <c r="AF162" s="25"/>
      <c r="AH162" s="16"/>
      <c r="AI162" s="25"/>
      <c r="AJ162" s="25"/>
      <c r="AL162" s="9"/>
      <c r="AN162" s="9"/>
      <c r="AP162" s="9"/>
      <c r="AQ162" s="9"/>
    </row>
    <row r="163" spans="1:43">
      <c r="A163" s="13">
        <v>22007</v>
      </c>
      <c r="B163" s="3">
        <v>23.5092</v>
      </c>
      <c r="C163" s="24">
        <v>65959</v>
      </c>
      <c r="D163" s="24">
        <v>54812</v>
      </c>
      <c r="E163" s="2">
        <v>5.2</v>
      </c>
      <c r="F163" s="33">
        <v>-1.6174000000000001E-2</v>
      </c>
      <c r="G163" s="33">
        <v>-1.7527999999999998E-2</v>
      </c>
      <c r="H163" s="25">
        <v>4.45</v>
      </c>
      <c r="I163" s="25">
        <v>5.2</v>
      </c>
      <c r="J163" s="25">
        <v>3.92</v>
      </c>
      <c r="K163" s="33"/>
      <c r="L163" s="25">
        <v>3.23</v>
      </c>
      <c r="M163" s="33">
        <v>13.4</v>
      </c>
      <c r="N163" s="9">
        <v>1.5569</v>
      </c>
      <c r="O163" s="31">
        <v>103.4</v>
      </c>
      <c r="P163" s="38">
        <v>35.59986</v>
      </c>
      <c r="Q163" s="24"/>
      <c r="R163" s="38"/>
      <c r="T163" s="2"/>
      <c r="U163" s="2"/>
      <c r="V163" s="24"/>
      <c r="W163" s="24"/>
      <c r="X163" s="24"/>
      <c r="Y163" s="24"/>
      <c r="Z163" s="24"/>
      <c r="AA163" s="24"/>
      <c r="AB163" s="24"/>
      <c r="AC163" s="25"/>
      <c r="AD163" s="25"/>
      <c r="AE163" s="25"/>
      <c r="AF163" s="25"/>
      <c r="AH163" s="16"/>
      <c r="AI163" s="25"/>
      <c r="AJ163" s="25"/>
      <c r="AL163" s="9"/>
      <c r="AN163" s="9"/>
      <c r="AP163" s="9"/>
      <c r="AQ163" s="9"/>
    </row>
    <row r="164" spans="1:43">
      <c r="A164" s="13">
        <v>22037</v>
      </c>
      <c r="B164" s="3">
        <v>23.482299999999999</v>
      </c>
      <c r="C164" s="24">
        <v>66057</v>
      </c>
      <c r="D164" s="24">
        <v>54472</v>
      </c>
      <c r="E164" s="2">
        <v>5.0999999999999996</v>
      </c>
      <c r="F164" s="33">
        <v>3.3388000000000001E-2</v>
      </c>
      <c r="G164" s="33">
        <v>2.6852999999999998E-2</v>
      </c>
      <c r="H164" s="25">
        <v>4.46</v>
      </c>
      <c r="I164" s="25">
        <v>5.28</v>
      </c>
      <c r="J164" s="25">
        <v>3.85</v>
      </c>
      <c r="K164" s="33"/>
      <c r="L164" s="25">
        <v>3.29</v>
      </c>
      <c r="M164" s="33">
        <v>13.4</v>
      </c>
      <c r="N164" s="9">
        <v>-0.22312000000000001</v>
      </c>
      <c r="O164" s="31">
        <v>103.7</v>
      </c>
      <c r="P164" s="38">
        <v>45.786459999999998</v>
      </c>
      <c r="Q164" s="24"/>
      <c r="R164" s="38"/>
      <c r="T164" s="2"/>
      <c r="U164" s="2"/>
      <c r="V164" s="24"/>
      <c r="W164" s="24"/>
      <c r="X164" s="24"/>
      <c r="Y164" s="24"/>
      <c r="Z164" s="24"/>
      <c r="AA164" s="24"/>
      <c r="AB164" s="24"/>
      <c r="AC164" s="25"/>
      <c r="AD164" s="25"/>
      <c r="AE164" s="25"/>
      <c r="AF164" s="25"/>
      <c r="AH164" s="16"/>
      <c r="AI164" s="25"/>
      <c r="AJ164" s="25"/>
      <c r="AL164" s="9"/>
      <c r="AN164" s="9"/>
      <c r="AP164" s="9"/>
      <c r="AQ164" s="9"/>
    </row>
    <row r="165" spans="1:43">
      <c r="A165" s="13">
        <v>22068</v>
      </c>
      <c r="B165" s="3">
        <v>23.187100000000001</v>
      </c>
      <c r="C165" s="24">
        <v>66168</v>
      </c>
      <c r="D165" s="24">
        <v>54347</v>
      </c>
      <c r="E165" s="2">
        <v>5.4</v>
      </c>
      <c r="F165" s="33">
        <v>2.2048999999999999E-2</v>
      </c>
      <c r="G165" s="33">
        <v>1.9524E-2</v>
      </c>
      <c r="H165" s="25">
        <v>4.45</v>
      </c>
      <c r="I165" s="25">
        <v>5.26</v>
      </c>
      <c r="J165" s="25">
        <v>3.32</v>
      </c>
      <c r="K165" s="33"/>
      <c r="L165" s="25">
        <v>2.46</v>
      </c>
      <c r="M165" s="33">
        <v>13.4</v>
      </c>
      <c r="N165" s="9">
        <v>-2.9258999999999999</v>
      </c>
      <c r="O165" s="31">
        <v>102.3</v>
      </c>
      <c r="P165" s="38">
        <v>43.322029999999998</v>
      </c>
      <c r="Q165" s="24"/>
      <c r="R165" s="38"/>
      <c r="T165" s="2"/>
      <c r="U165" s="2"/>
      <c r="V165" s="24"/>
      <c r="W165" s="24"/>
      <c r="X165" s="24"/>
      <c r="Y165" s="24"/>
      <c r="Z165" s="24"/>
      <c r="AA165" s="24"/>
      <c r="AB165" s="24"/>
      <c r="AC165" s="25"/>
      <c r="AD165" s="25"/>
      <c r="AE165" s="25"/>
      <c r="AF165" s="25"/>
      <c r="AH165" s="16"/>
      <c r="AI165" s="25"/>
      <c r="AJ165" s="25"/>
      <c r="AL165" s="9"/>
      <c r="AN165" s="9"/>
      <c r="AP165" s="9"/>
      <c r="AQ165" s="9"/>
    </row>
    <row r="166" spans="1:43">
      <c r="A166" s="13">
        <v>22098</v>
      </c>
      <c r="B166" s="3">
        <v>23.1066</v>
      </c>
      <c r="C166" s="24">
        <v>65909</v>
      </c>
      <c r="D166" s="24">
        <v>54303</v>
      </c>
      <c r="E166" s="2">
        <v>5.5</v>
      </c>
      <c r="F166" s="33">
        <v>-2.2950000000000002E-2</v>
      </c>
      <c r="G166" s="33">
        <v>-2.4771999999999999E-2</v>
      </c>
      <c r="H166" s="25">
        <v>4.41</v>
      </c>
      <c r="I166" s="25">
        <v>5.22</v>
      </c>
      <c r="J166" s="25">
        <v>3.23</v>
      </c>
      <c r="K166" s="33"/>
      <c r="L166" s="25">
        <v>2.2999999999999998</v>
      </c>
      <c r="M166" s="33">
        <v>13.4</v>
      </c>
      <c r="N166" s="9">
        <v>0.84811000000000003</v>
      </c>
      <c r="O166" s="31">
        <v>101.2</v>
      </c>
      <c r="P166" s="38">
        <v>41.426549999999999</v>
      </c>
      <c r="Q166" s="24"/>
      <c r="R166" s="38"/>
      <c r="T166" s="2"/>
      <c r="U166" s="2"/>
      <c r="V166" s="24"/>
      <c r="W166" s="24"/>
      <c r="X166" s="24"/>
      <c r="Y166" s="24"/>
      <c r="Z166" s="24"/>
      <c r="AA166" s="24"/>
      <c r="AB166" s="24"/>
      <c r="AC166" s="25"/>
      <c r="AD166" s="25"/>
      <c r="AE166" s="25"/>
      <c r="AF166" s="25"/>
      <c r="AH166" s="16"/>
      <c r="AI166" s="25"/>
      <c r="AJ166" s="25"/>
      <c r="AL166" s="9"/>
      <c r="AN166" s="9"/>
      <c r="AP166" s="9"/>
      <c r="AQ166" s="9"/>
    </row>
    <row r="167" spans="1:43">
      <c r="A167" s="13">
        <v>22129</v>
      </c>
      <c r="B167" s="3">
        <v>23.079799999999999</v>
      </c>
      <c r="C167" s="24">
        <v>65895</v>
      </c>
      <c r="D167" s="24">
        <v>54272</v>
      </c>
      <c r="E167" s="2">
        <v>5.6</v>
      </c>
      <c r="F167" s="33">
        <v>3.1518999999999998E-2</v>
      </c>
      <c r="G167" s="33">
        <v>2.6120999999999998E-2</v>
      </c>
      <c r="H167" s="25">
        <v>4.28</v>
      </c>
      <c r="I167" s="25">
        <v>5.08</v>
      </c>
      <c r="J167" s="25">
        <v>2.98</v>
      </c>
      <c r="K167" s="33"/>
      <c r="L167" s="25">
        <v>2.2999999999999998</v>
      </c>
      <c r="M167" s="33">
        <v>13.4</v>
      </c>
      <c r="N167" s="9">
        <v>-0.40527000000000002</v>
      </c>
      <c r="O167" s="31">
        <v>101.7</v>
      </c>
      <c r="P167" s="38">
        <v>52.910649999999997</v>
      </c>
      <c r="Q167" s="24"/>
      <c r="R167" s="38"/>
      <c r="T167" s="2"/>
      <c r="U167" s="2"/>
      <c r="V167" s="24"/>
      <c r="W167" s="24"/>
      <c r="X167" s="24"/>
      <c r="Y167" s="24"/>
      <c r="Z167" s="24"/>
      <c r="AA167" s="24"/>
      <c r="AB167" s="24"/>
      <c r="AC167" s="25"/>
      <c r="AD167" s="25"/>
      <c r="AE167" s="25"/>
      <c r="AF167" s="25"/>
      <c r="AH167" s="16"/>
      <c r="AI167" s="25"/>
      <c r="AJ167" s="25"/>
      <c r="AL167" s="9"/>
      <c r="AN167" s="9"/>
      <c r="AP167" s="9"/>
      <c r="AQ167" s="9"/>
    </row>
    <row r="168" spans="1:43">
      <c r="A168" s="13">
        <v>22160</v>
      </c>
      <c r="B168" s="3">
        <v>22.838200000000001</v>
      </c>
      <c r="C168" s="24">
        <v>66267</v>
      </c>
      <c r="D168" s="24">
        <v>54228</v>
      </c>
      <c r="E168" s="2">
        <v>5.5</v>
      </c>
      <c r="F168" s="33">
        <v>-5.8643000000000001E-2</v>
      </c>
      <c r="G168" s="33">
        <v>-6.0393000000000002E-2</v>
      </c>
      <c r="H168" s="25">
        <v>4.25</v>
      </c>
      <c r="I168" s="25">
        <v>5.01</v>
      </c>
      <c r="J168" s="25">
        <v>2.6</v>
      </c>
      <c r="K168" s="33"/>
      <c r="L168" s="25">
        <v>2.48</v>
      </c>
      <c r="M168" s="33">
        <v>13.4</v>
      </c>
      <c r="N168" s="9">
        <v>-1.1006</v>
      </c>
      <c r="O168" s="31">
        <v>100.8</v>
      </c>
      <c r="P168" s="38">
        <v>39.597709999999999</v>
      </c>
      <c r="Q168" s="24"/>
      <c r="R168" s="38"/>
      <c r="T168" s="2"/>
      <c r="U168" s="2"/>
      <c r="V168" s="24"/>
      <c r="W168" s="24"/>
      <c r="X168" s="24"/>
      <c r="Y168" s="24"/>
      <c r="Z168" s="24"/>
      <c r="AA168" s="24"/>
      <c r="AB168" s="24"/>
      <c r="AC168" s="25"/>
      <c r="AD168" s="25"/>
      <c r="AE168" s="25"/>
      <c r="AF168" s="25"/>
      <c r="AH168" s="16"/>
      <c r="AI168" s="25"/>
      <c r="AJ168" s="25"/>
      <c r="AL168" s="9"/>
      <c r="AN168" s="9"/>
      <c r="AP168" s="9"/>
      <c r="AQ168" s="9"/>
    </row>
    <row r="169" spans="1:43">
      <c r="A169" s="13">
        <v>22190</v>
      </c>
      <c r="B169" s="3">
        <v>22.811399999999999</v>
      </c>
      <c r="C169" s="24">
        <v>65632</v>
      </c>
      <c r="D169" s="24">
        <v>54144</v>
      </c>
      <c r="E169" s="2">
        <v>6.1</v>
      </c>
      <c r="F169" s="33">
        <v>-1.1900000000000001E-3</v>
      </c>
      <c r="G169" s="33">
        <v>-2.4290000000000002E-3</v>
      </c>
      <c r="H169" s="25">
        <v>4.3</v>
      </c>
      <c r="I169" s="25">
        <v>5.1100000000000003</v>
      </c>
      <c r="J169" s="25">
        <v>2.4700000000000002</v>
      </c>
      <c r="K169" s="33"/>
      <c r="L169" s="25">
        <v>2.2999999999999998</v>
      </c>
      <c r="M169" s="33">
        <v>13.4</v>
      </c>
      <c r="N169" s="9">
        <v>-7.8798999999999994E-2</v>
      </c>
      <c r="O169" s="31">
        <v>99.3</v>
      </c>
      <c r="P169" s="38">
        <v>37.710259999999998</v>
      </c>
      <c r="Q169" s="24"/>
      <c r="R169" s="38"/>
      <c r="T169" s="2"/>
      <c r="U169" s="2"/>
      <c r="V169" s="24"/>
      <c r="W169" s="24"/>
      <c r="X169" s="24"/>
      <c r="Y169" s="24"/>
      <c r="Z169" s="24"/>
      <c r="AA169" s="24"/>
      <c r="AB169" s="24"/>
      <c r="AC169" s="25"/>
      <c r="AD169" s="25"/>
      <c r="AE169" s="25"/>
      <c r="AF169" s="25"/>
      <c r="AH169" s="16"/>
      <c r="AI169" s="25"/>
      <c r="AJ169" s="25"/>
      <c r="AL169" s="9"/>
      <c r="AN169" s="9"/>
      <c r="AP169" s="9"/>
      <c r="AQ169" s="9"/>
    </row>
    <row r="170" spans="1:43">
      <c r="A170" s="13">
        <v>22221</v>
      </c>
      <c r="B170" s="3">
        <v>22.4894</v>
      </c>
      <c r="C170" s="24">
        <v>66109</v>
      </c>
      <c r="D170" s="24">
        <v>53962</v>
      </c>
      <c r="E170" s="2">
        <v>6.1</v>
      </c>
      <c r="F170" s="33">
        <v>4.5926000000000002E-2</v>
      </c>
      <c r="G170" s="33">
        <v>4.027E-2</v>
      </c>
      <c r="H170" s="25">
        <v>4.3099999999999996</v>
      </c>
      <c r="I170" s="25">
        <v>5.08</v>
      </c>
      <c r="J170" s="25">
        <v>2.44</v>
      </c>
      <c r="K170" s="33"/>
      <c r="L170" s="25">
        <v>2.37</v>
      </c>
      <c r="M170" s="33">
        <v>13.4</v>
      </c>
      <c r="N170" s="9">
        <v>1.294</v>
      </c>
      <c r="O170" s="31">
        <v>98.1</v>
      </c>
      <c r="P170" s="38">
        <v>64.986270000000005</v>
      </c>
      <c r="Q170" s="24"/>
      <c r="R170" s="38"/>
      <c r="T170" s="2"/>
      <c r="U170" s="2"/>
      <c r="V170" s="24"/>
      <c r="W170" s="24"/>
      <c r="X170" s="24"/>
      <c r="Y170" s="24"/>
      <c r="Z170" s="24"/>
      <c r="AA170" s="24"/>
      <c r="AB170" s="24"/>
      <c r="AC170" s="25"/>
      <c r="AD170" s="25"/>
      <c r="AE170" s="25"/>
      <c r="AF170" s="25"/>
      <c r="AH170" s="16"/>
      <c r="AI170" s="25"/>
      <c r="AJ170" s="25"/>
      <c r="AL170" s="9"/>
      <c r="AN170" s="9"/>
      <c r="AP170" s="9"/>
      <c r="AQ170" s="9"/>
    </row>
    <row r="171" spans="1:43">
      <c r="A171" s="13">
        <v>22251</v>
      </c>
      <c r="B171" s="3">
        <v>22.059899999999999</v>
      </c>
      <c r="C171" s="24">
        <v>65778</v>
      </c>
      <c r="D171" s="24">
        <v>53743</v>
      </c>
      <c r="E171" s="2">
        <v>6.6</v>
      </c>
      <c r="F171" s="33">
        <v>4.8751000000000003E-2</v>
      </c>
      <c r="G171" s="33">
        <v>4.6273000000000002E-2</v>
      </c>
      <c r="H171" s="25">
        <v>4.3499999999999996</v>
      </c>
      <c r="I171" s="25">
        <v>5.0999999999999996</v>
      </c>
      <c r="J171" s="25">
        <v>1.98</v>
      </c>
      <c r="K171" s="33"/>
      <c r="L171" s="25">
        <v>2.25</v>
      </c>
      <c r="M171" s="33">
        <v>13.4</v>
      </c>
      <c r="N171" s="9">
        <v>-1.4109</v>
      </c>
      <c r="O171" s="31">
        <v>96.4</v>
      </c>
      <c r="P171" s="38">
        <v>33.160080000000001</v>
      </c>
      <c r="Q171" s="24"/>
      <c r="R171" s="38"/>
      <c r="T171" s="2"/>
      <c r="U171" s="2"/>
      <c r="V171" s="24"/>
      <c r="W171" s="24"/>
      <c r="X171" s="24"/>
      <c r="Y171" s="24"/>
      <c r="Z171" s="24"/>
      <c r="AA171" s="24"/>
      <c r="AB171" s="24"/>
      <c r="AC171" s="25"/>
      <c r="AD171" s="25"/>
      <c r="AE171" s="25"/>
      <c r="AF171" s="25"/>
      <c r="AH171" s="16"/>
      <c r="AI171" s="25"/>
      <c r="AJ171" s="25"/>
      <c r="AL171" s="9"/>
      <c r="AN171" s="9"/>
      <c r="AP171" s="9"/>
      <c r="AQ171" s="9"/>
    </row>
    <row r="172" spans="1:43">
      <c r="A172" s="13">
        <v>22282</v>
      </c>
      <c r="B172" s="3">
        <v>22.0868</v>
      </c>
      <c r="C172" s="24">
        <v>65776</v>
      </c>
      <c r="D172" s="24">
        <v>53683</v>
      </c>
      <c r="E172" s="2">
        <v>6.6</v>
      </c>
      <c r="F172" s="33">
        <v>6.4233999999999999E-2</v>
      </c>
      <c r="G172" s="33">
        <v>6.3156000000000004E-2</v>
      </c>
      <c r="H172" s="25">
        <v>4.32</v>
      </c>
      <c r="I172" s="25">
        <v>5.0999999999999996</v>
      </c>
      <c r="J172" s="25">
        <v>1.45</v>
      </c>
      <c r="K172" s="33"/>
      <c r="L172" s="25">
        <v>2.2400000000000002</v>
      </c>
      <c r="M172" s="33">
        <v>13.4</v>
      </c>
      <c r="N172" s="9">
        <v>-0.96643999999999997</v>
      </c>
      <c r="O172" s="31">
        <v>96.9</v>
      </c>
      <c r="P172" s="38">
        <v>65.862340000000003</v>
      </c>
      <c r="Q172" s="24"/>
      <c r="R172" s="38"/>
      <c r="T172" s="2"/>
      <c r="U172" s="2"/>
      <c r="V172" s="24"/>
      <c r="W172" s="24"/>
      <c r="X172" s="24"/>
      <c r="Y172" s="24"/>
      <c r="Z172" s="24"/>
      <c r="AA172" s="24"/>
      <c r="AB172" s="24"/>
      <c r="AC172" s="25"/>
      <c r="AD172" s="25"/>
      <c r="AE172" s="25"/>
      <c r="AF172" s="25"/>
      <c r="AH172" s="16"/>
      <c r="AI172" s="25"/>
      <c r="AJ172" s="25"/>
      <c r="AL172" s="9"/>
      <c r="AN172" s="9"/>
      <c r="AP172" s="9"/>
      <c r="AQ172" s="9"/>
    </row>
    <row r="173" spans="1:43">
      <c r="A173" s="13">
        <v>22313</v>
      </c>
      <c r="B173" s="3">
        <v>22.059899999999999</v>
      </c>
      <c r="C173" s="24">
        <v>65588</v>
      </c>
      <c r="D173" s="24">
        <v>53556</v>
      </c>
      <c r="E173" s="2">
        <v>6.9</v>
      </c>
      <c r="F173" s="33">
        <v>3.2804E-2</v>
      </c>
      <c r="G173" s="33">
        <v>2.6870000000000002E-2</v>
      </c>
      <c r="H173" s="25">
        <v>4.2699999999999996</v>
      </c>
      <c r="I173" s="25">
        <v>5.07</v>
      </c>
      <c r="J173" s="25">
        <v>2.54</v>
      </c>
      <c r="K173" s="33"/>
      <c r="L173" s="25">
        <v>2.42</v>
      </c>
      <c r="M173" s="33">
        <v>13.4</v>
      </c>
      <c r="N173" s="9">
        <v>9.9074000000000009</v>
      </c>
      <c r="O173" s="31">
        <v>98.9</v>
      </c>
      <c r="P173" s="38">
        <v>31.30311</v>
      </c>
      <c r="Q173" s="24"/>
      <c r="R173" s="38"/>
      <c r="T173" s="2"/>
      <c r="U173" s="2"/>
      <c r="V173" s="24"/>
      <c r="W173" s="24"/>
      <c r="X173" s="24"/>
      <c r="Y173" s="24"/>
      <c r="Z173" s="24"/>
      <c r="AA173" s="24"/>
      <c r="AB173" s="24"/>
      <c r="AC173" s="25"/>
      <c r="AD173" s="25"/>
      <c r="AE173" s="25"/>
      <c r="AF173" s="25"/>
      <c r="AH173" s="16"/>
      <c r="AI173" s="25"/>
      <c r="AJ173" s="25"/>
      <c r="AL173" s="9"/>
      <c r="AN173" s="9"/>
      <c r="AP173" s="9"/>
      <c r="AQ173" s="9"/>
    </row>
    <row r="174" spans="1:43">
      <c r="A174" s="13">
        <v>22341</v>
      </c>
      <c r="B174" s="3">
        <v>22.194199999999999</v>
      </c>
      <c r="C174" s="24">
        <v>65850</v>
      </c>
      <c r="D174" s="24">
        <v>53662</v>
      </c>
      <c r="E174" s="2">
        <v>6.9</v>
      </c>
      <c r="F174" s="33">
        <v>2.9315000000000001E-2</v>
      </c>
      <c r="G174" s="33">
        <v>2.5536E-2</v>
      </c>
      <c r="H174" s="25">
        <v>4.22</v>
      </c>
      <c r="I174" s="25">
        <v>5.0199999999999996</v>
      </c>
      <c r="J174" s="25">
        <v>2.02</v>
      </c>
      <c r="K174" s="33"/>
      <c r="L174" s="25">
        <v>2.39</v>
      </c>
      <c r="M174" s="33">
        <v>13.4</v>
      </c>
      <c r="N174" s="9">
        <v>-1.9558</v>
      </c>
      <c r="O174" s="31">
        <v>102.7</v>
      </c>
      <c r="P174" s="38">
        <v>35.031190000000002</v>
      </c>
      <c r="Q174" s="24"/>
      <c r="R174" s="38"/>
      <c r="T174" s="2"/>
      <c r="U174" s="2"/>
      <c r="V174" s="24"/>
      <c r="W174" s="24"/>
      <c r="X174" s="24"/>
      <c r="Y174" s="24"/>
      <c r="Z174" s="24"/>
      <c r="AA174" s="24"/>
      <c r="AB174" s="24"/>
      <c r="AC174" s="25"/>
      <c r="AD174" s="25"/>
      <c r="AE174" s="25"/>
      <c r="AF174" s="25"/>
      <c r="AH174" s="16"/>
      <c r="AI174" s="25"/>
      <c r="AJ174" s="25"/>
      <c r="AL174" s="9"/>
      <c r="AN174" s="9"/>
      <c r="AP174" s="9"/>
      <c r="AQ174" s="9"/>
    </row>
    <row r="175" spans="1:43">
      <c r="A175" s="13">
        <v>22372</v>
      </c>
      <c r="B175" s="3">
        <v>22.650400000000001</v>
      </c>
      <c r="C175" s="24">
        <v>65374</v>
      </c>
      <c r="D175" s="24">
        <v>53626</v>
      </c>
      <c r="E175" s="2">
        <v>7</v>
      </c>
      <c r="F175" s="33">
        <v>4.5659999999999997E-3</v>
      </c>
      <c r="G175" s="33">
        <v>3.8430000000000001E-3</v>
      </c>
      <c r="H175" s="25">
        <v>4.25</v>
      </c>
      <c r="I175" s="25">
        <v>5.01</v>
      </c>
      <c r="J175" s="25">
        <v>1.49</v>
      </c>
      <c r="K175" s="33"/>
      <c r="L175" s="25">
        <v>2.29</v>
      </c>
      <c r="M175" s="33">
        <v>13.5</v>
      </c>
      <c r="N175" s="9">
        <v>-3.2061999999999999</v>
      </c>
      <c r="O175" s="31">
        <v>103.7</v>
      </c>
      <c r="P175" s="38">
        <v>37.237630000000003</v>
      </c>
      <c r="Q175" s="24"/>
      <c r="R175" s="38"/>
      <c r="T175" s="2"/>
      <c r="U175" s="2"/>
      <c r="V175" s="24"/>
      <c r="W175" s="24"/>
      <c r="X175" s="24"/>
      <c r="Y175" s="24"/>
      <c r="Z175" s="24"/>
      <c r="AA175" s="24"/>
      <c r="AB175" s="24"/>
      <c r="AC175" s="25"/>
      <c r="AD175" s="25"/>
      <c r="AE175" s="25"/>
      <c r="AF175" s="25"/>
      <c r="AH175" s="16"/>
      <c r="AI175" s="25"/>
      <c r="AJ175" s="25"/>
      <c r="AL175" s="9"/>
      <c r="AN175" s="9"/>
      <c r="AP175" s="9"/>
      <c r="AQ175" s="9"/>
    </row>
    <row r="176" spans="1:43">
      <c r="A176" s="13">
        <v>22402</v>
      </c>
      <c r="B176" s="3">
        <v>22.999300000000002</v>
      </c>
      <c r="C176" s="24">
        <v>65449</v>
      </c>
      <c r="D176" s="24">
        <v>53783</v>
      </c>
      <c r="E176" s="2">
        <v>7.1</v>
      </c>
      <c r="F176" s="33">
        <v>2.3462E-2</v>
      </c>
      <c r="G176" s="33">
        <v>1.9139E-2</v>
      </c>
      <c r="H176" s="25">
        <v>4.2699999999999996</v>
      </c>
      <c r="I176" s="25">
        <v>5.01</v>
      </c>
      <c r="J176" s="25">
        <v>1.98</v>
      </c>
      <c r="K176" s="33"/>
      <c r="L176" s="25">
        <v>2.29</v>
      </c>
      <c r="M176" s="33">
        <v>13.5</v>
      </c>
      <c r="N176" s="9">
        <v>3.4321000000000002</v>
      </c>
      <c r="O176" s="31">
        <v>104</v>
      </c>
      <c r="P176" s="38">
        <v>45.61533</v>
      </c>
      <c r="Q176" s="24"/>
      <c r="R176" s="38"/>
      <c r="T176" s="2"/>
      <c r="U176" s="2"/>
      <c r="V176" s="24"/>
      <c r="W176" s="24"/>
      <c r="X176" s="24"/>
      <c r="Y176" s="24"/>
      <c r="Z176" s="24"/>
      <c r="AA176" s="24"/>
      <c r="AB176" s="24"/>
      <c r="AC176" s="25"/>
      <c r="AD176" s="25"/>
      <c r="AE176" s="25"/>
      <c r="AF176" s="25"/>
      <c r="AH176" s="16"/>
      <c r="AI176" s="25"/>
      <c r="AJ176" s="25"/>
      <c r="AL176" s="9"/>
      <c r="AN176" s="9"/>
      <c r="AP176" s="9"/>
      <c r="AQ176" s="9"/>
    </row>
    <row r="177" spans="1:43">
      <c r="A177" s="13">
        <v>22433</v>
      </c>
      <c r="B177" s="3">
        <v>23.321300000000001</v>
      </c>
      <c r="C177" s="24">
        <v>65993</v>
      </c>
      <c r="D177" s="24">
        <v>53977</v>
      </c>
      <c r="E177" s="2">
        <v>6.9</v>
      </c>
      <c r="F177" s="33">
        <v>-2.6675999999999998E-2</v>
      </c>
      <c r="G177" s="33">
        <v>-2.8846E-2</v>
      </c>
      <c r="H177" s="25">
        <v>4.33</v>
      </c>
      <c r="I177" s="25">
        <v>5.03</v>
      </c>
      <c r="J177" s="25">
        <v>1.73</v>
      </c>
      <c r="K177" s="33"/>
      <c r="L177" s="25">
        <v>2.33</v>
      </c>
      <c r="M177" s="33">
        <v>13.5</v>
      </c>
      <c r="N177" s="9">
        <v>-2.2401</v>
      </c>
      <c r="O177" s="31">
        <v>100.6</v>
      </c>
      <c r="P177" s="38">
        <v>60.852829999999997</v>
      </c>
      <c r="Q177" s="24"/>
      <c r="R177" s="38"/>
      <c r="T177" s="2"/>
      <c r="U177" s="2"/>
      <c r="V177" s="24"/>
      <c r="W177" s="24"/>
      <c r="X177" s="24"/>
      <c r="Y177" s="24"/>
      <c r="Z177" s="24"/>
      <c r="AA177" s="24"/>
      <c r="AB177" s="24"/>
      <c r="AC177" s="25"/>
      <c r="AD177" s="25"/>
      <c r="AE177" s="25"/>
      <c r="AF177" s="25"/>
      <c r="AH177" s="16"/>
      <c r="AI177" s="25"/>
      <c r="AJ177" s="25"/>
      <c r="AL177" s="9"/>
      <c r="AN177" s="9"/>
      <c r="AP177" s="9"/>
      <c r="AQ177" s="9"/>
    </row>
    <row r="178" spans="1:43">
      <c r="A178" s="13">
        <v>22463</v>
      </c>
      <c r="B178" s="3">
        <v>23.589700000000001</v>
      </c>
      <c r="C178" s="24">
        <v>65608</v>
      </c>
      <c r="D178" s="24">
        <v>54124</v>
      </c>
      <c r="E178" s="2">
        <v>7</v>
      </c>
      <c r="F178" s="33">
        <v>3.3758000000000003E-2</v>
      </c>
      <c r="G178" s="33">
        <v>3.2797E-2</v>
      </c>
      <c r="H178" s="25">
        <v>4.41</v>
      </c>
      <c r="I178" s="25">
        <v>5.09</v>
      </c>
      <c r="J178" s="25">
        <v>1.17</v>
      </c>
      <c r="K178" s="33"/>
      <c r="L178" s="25">
        <v>2.2400000000000002</v>
      </c>
      <c r="M178" s="33">
        <v>13.5</v>
      </c>
      <c r="N178" s="9">
        <v>-3.6015999999999999</v>
      </c>
      <c r="O178" s="31">
        <v>101.3</v>
      </c>
      <c r="P178" s="38">
        <v>48.530540000000002</v>
      </c>
      <c r="Q178" s="24"/>
      <c r="R178" s="38"/>
      <c r="T178" s="2"/>
      <c r="U178" s="2"/>
      <c r="V178" s="24"/>
      <c r="W178" s="24"/>
      <c r="X178" s="24"/>
      <c r="Y178" s="24"/>
      <c r="Z178" s="24"/>
      <c r="AA178" s="24"/>
      <c r="AB178" s="24"/>
      <c r="AC178" s="25"/>
      <c r="AD178" s="25"/>
      <c r="AE178" s="25"/>
      <c r="AF178" s="25"/>
      <c r="AH178" s="16"/>
      <c r="AI178" s="25"/>
      <c r="AJ178" s="25"/>
      <c r="AL178" s="9"/>
      <c r="AN178" s="9"/>
      <c r="AP178" s="9"/>
      <c r="AQ178" s="9"/>
    </row>
    <row r="179" spans="1:43">
      <c r="A179" s="13">
        <v>22494</v>
      </c>
      <c r="B179" s="3">
        <v>23.804300000000001</v>
      </c>
      <c r="C179" s="24">
        <v>65852</v>
      </c>
      <c r="D179" s="24">
        <v>54299</v>
      </c>
      <c r="E179" s="2">
        <v>6.6</v>
      </c>
      <c r="F179" s="33">
        <v>2.4768999999999999E-2</v>
      </c>
      <c r="G179" s="33">
        <v>1.9623000000000002E-2</v>
      </c>
      <c r="H179" s="25">
        <v>4.45</v>
      </c>
      <c r="I179" s="25">
        <v>5.1100000000000003</v>
      </c>
      <c r="J179" s="25">
        <v>2</v>
      </c>
      <c r="K179" s="33"/>
      <c r="L179" s="25">
        <v>2.39</v>
      </c>
      <c r="M179" s="33">
        <v>13.5</v>
      </c>
      <c r="N179" s="9">
        <v>5.6288</v>
      </c>
      <c r="O179" s="31">
        <v>102.5</v>
      </c>
      <c r="P179" s="38">
        <v>39.2866</v>
      </c>
      <c r="Q179" s="24"/>
      <c r="R179" s="38"/>
      <c r="T179" s="2"/>
      <c r="U179" s="2"/>
      <c r="V179" s="24"/>
      <c r="W179" s="24"/>
      <c r="X179" s="24"/>
      <c r="Y179" s="24"/>
      <c r="Z179" s="24"/>
      <c r="AA179" s="24"/>
      <c r="AB179" s="24"/>
      <c r="AC179" s="25"/>
      <c r="AD179" s="25"/>
      <c r="AE179" s="25"/>
      <c r="AF179" s="25"/>
      <c r="AH179" s="16"/>
      <c r="AI179" s="25"/>
      <c r="AJ179" s="25"/>
      <c r="AL179" s="9"/>
      <c r="AN179" s="9"/>
      <c r="AP179" s="9"/>
      <c r="AQ179" s="9"/>
    </row>
    <row r="180" spans="1:43">
      <c r="A180" s="13">
        <v>22525</v>
      </c>
      <c r="B180" s="3">
        <v>23.7775</v>
      </c>
      <c r="C180" s="24">
        <v>65541</v>
      </c>
      <c r="D180" s="24">
        <v>54387</v>
      </c>
      <c r="E180" s="2">
        <v>6.7</v>
      </c>
      <c r="F180" s="33">
        <v>-1.8683000000000002E-2</v>
      </c>
      <c r="G180" s="33">
        <v>-1.9685999999999999E-2</v>
      </c>
      <c r="H180" s="25">
        <v>4.45</v>
      </c>
      <c r="I180" s="25">
        <v>5.12</v>
      </c>
      <c r="J180" s="25">
        <v>1.88</v>
      </c>
      <c r="K180" s="33"/>
      <c r="L180" s="25">
        <v>2.2799999999999998</v>
      </c>
      <c r="M180" s="33">
        <v>13.5</v>
      </c>
      <c r="N180" s="9">
        <v>-1.4545999999999999</v>
      </c>
      <c r="O180" s="31">
        <v>102.5</v>
      </c>
      <c r="P180" s="38">
        <v>39.464039999999997</v>
      </c>
      <c r="Q180" s="24"/>
      <c r="R180" s="38"/>
      <c r="T180" s="2"/>
      <c r="U180" s="2"/>
      <c r="V180" s="24"/>
      <c r="W180" s="24"/>
      <c r="X180" s="24"/>
      <c r="Y180" s="24"/>
      <c r="Z180" s="24"/>
      <c r="AA180" s="24"/>
      <c r="AB180" s="24"/>
      <c r="AC180" s="25"/>
      <c r="AD180" s="25"/>
      <c r="AE180" s="25"/>
      <c r="AF180" s="25"/>
      <c r="AH180" s="16"/>
      <c r="AI180" s="25"/>
      <c r="AJ180" s="25"/>
      <c r="AL180" s="9"/>
      <c r="AN180" s="9"/>
      <c r="AP180" s="9"/>
      <c r="AQ180" s="9"/>
    </row>
    <row r="181" spans="1:43">
      <c r="A181" s="13">
        <v>22555</v>
      </c>
      <c r="B181" s="3">
        <v>24.233699999999999</v>
      </c>
      <c r="C181" s="24">
        <v>65919</v>
      </c>
      <c r="D181" s="24">
        <v>54521</v>
      </c>
      <c r="E181" s="2">
        <v>6.5</v>
      </c>
      <c r="F181" s="33">
        <v>2.8296999999999999E-2</v>
      </c>
      <c r="G181" s="33">
        <v>2.8323000000000001E-2</v>
      </c>
      <c r="H181" s="25">
        <v>4.42</v>
      </c>
      <c r="I181" s="25">
        <v>5.13</v>
      </c>
      <c r="J181" s="25">
        <v>2.2599999999999998</v>
      </c>
      <c r="K181" s="33"/>
      <c r="L181" s="25">
        <v>2.2999999999999998</v>
      </c>
      <c r="M181" s="33">
        <v>13.5</v>
      </c>
      <c r="N181" s="9">
        <v>2.6093000000000002</v>
      </c>
      <c r="O181" s="31">
        <v>101.9</v>
      </c>
      <c r="P181" s="38">
        <v>42.396419999999999</v>
      </c>
      <c r="Q181" s="24"/>
      <c r="R181" s="38"/>
      <c r="T181" s="2"/>
      <c r="U181" s="2"/>
      <c r="V181" s="24"/>
      <c r="W181" s="24"/>
      <c r="X181" s="24"/>
      <c r="Y181" s="24"/>
      <c r="Z181" s="24"/>
      <c r="AA181" s="24"/>
      <c r="AB181" s="24"/>
      <c r="AC181" s="25"/>
      <c r="AD181" s="25"/>
      <c r="AE181" s="25"/>
      <c r="AF181" s="25"/>
      <c r="AH181" s="16"/>
      <c r="AI181" s="25"/>
      <c r="AJ181" s="25"/>
      <c r="AL181" s="9"/>
      <c r="AN181" s="9"/>
      <c r="AP181" s="9"/>
      <c r="AQ181" s="9"/>
    </row>
    <row r="182" spans="1:43">
      <c r="A182" s="13">
        <v>22586</v>
      </c>
      <c r="B182" s="3">
        <v>24.609500000000001</v>
      </c>
      <c r="C182" s="24">
        <v>66081</v>
      </c>
      <c r="D182" s="24">
        <v>54743</v>
      </c>
      <c r="E182" s="2">
        <v>6.1</v>
      </c>
      <c r="F182" s="33">
        <v>4.5141000000000001E-2</v>
      </c>
      <c r="G182" s="33">
        <v>3.9347E-2</v>
      </c>
      <c r="H182" s="25">
        <v>4.3899999999999997</v>
      </c>
      <c r="I182" s="25">
        <v>5.1100000000000003</v>
      </c>
      <c r="J182" s="25">
        <v>2.61</v>
      </c>
      <c r="K182" s="33"/>
      <c r="L182" s="25">
        <v>2.48</v>
      </c>
      <c r="M182" s="33">
        <v>13.5</v>
      </c>
      <c r="N182" s="9">
        <v>1.4590000000000001</v>
      </c>
      <c r="O182" s="31">
        <v>98.5</v>
      </c>
      <c r="P182" s="38">
        <v>33.016959999999997</v>
      </c>
      <c r="Q182" s="24"/>
      <c r="R182" s="38"/>
      <c r="T182" s="2"/>
      <c r="U182" s="2"/>
      <c r="V182" s="24"/>
      <c r="W182" s="24"/>
      <c r="X182" s="24"/>
      <c r="Y182" s="24"/>
      <c r="Z182" s="24"/>
      <c r="AA182" s="24"/>
      <c r="AB182" s="24"/>
      <c r="AC182" s="25"/>
      <c r="AD182" s="25"/>
      <c r="AE182" s="25"/>
      <c r="AF182" s="25"/>
      <c r="AH182" s="16"/>
      <c r="AI182" s="25"/>
      <c r="AJ182" s="25"/>
      <c r="AL182" s="9"/>
      <c r="AN182" s="9"/>
      <c r="AP182" s="9"/>
      <c r="AQ182" s="9"/>
    </row>
    <row r="183" spans="1:43">
      <c r="A183" s="13">
        <v>22616</v>
      </c>
      <c r="B183" s="3">
        <v>24.824200000000001</v>
      </c>
      <c r="C183" s="24">
        <v>65900</v>
      </c>
      <c r="D183" s="24">
        <v>54871</v>
      </c>
      <c r="E183" s="2">
        <v>6</v>
      </c>
      <c r="F183" s="33">
        <v>4.7330000000000002E-3</v>
      </c>
      <c r="G183" s="33">
        <v>3.225E-3</v>
      </c>
      <c r="H183" s="25">
        <v>4.42</v>
      </c>
      <c r="I183" s="25">
        <v>5.0999999999999996</v>
      </c>
      <c r="J183" s="25">
        <v>2.33</v>
      </c>
      <c r="K183" s="33"/>
      <c r="L183" s="25">
        <v>2.6</v>
      </c>
      <c r="M183" s="33">
        <v>13.5</v>
      </c>
      <c r="N183" s="9">
        <v>-2.2685</v>
      </c>
      <c r="O183" s="31">
        <v>100.6</v>
      </c>
      <c r="P183" s="38">
        <v>34.873150000000003</v>
      </c>
      <c r="Q183" s="24"/>
      <c r="R183" s="38"/>
      <c r="T183" s="2"/>
      <c r="U183" s="2"/>
      <c r="V183" s="24"/>
      <c r="W183" s="24"/>
      <c r="X183" s="24"/>
      <c r="Y183" s="24"/>
      <c r="Z183" s="24"/>
      <c r="AA183" s="24"/>
      <c r="AB183" s="24"/>
      <c r="AC183" s="25"/>
      <c r="AD183" s="25"/>
      <c r="AE183" s="25"/>
      <c r="AF183" s="25"/>
      <c r="AH183" s="16"/>
      <c r="AI183" s="25"/>
      <c r="AJ183" s="25"/>
      <c r="AL183" s="9"/>
      <c r="AN183" s="9"/>
      <c r="AP183" s="9"/>
      <c r="AQ183" s="9"/>
    </row>
    <row r="184" spans="1:43">
      <c r="A184" s="13">
        <v>22647</v>
      </c>
      <c r="B184" s="3">
        <v>24.609500000000001</v>
      </c>
      <c r="C184" s="24">
        <v>66108</v>
      </c>
      <c r="D184" s="24">
        <v>54891</v>
      </c>
      <c r="E184" s="2">
        <v>5.8</v>
      </c>
      <c r="F184" s="33">
        <v>-3.7394999999999998E-2</v>
      </c>
      <c r="G184" s="33">
        <v>-3.7876E-2</v>
      </c>
      <c r="H184" s="25">
        <v>4.42</v>
      </c>
      <c r="I184" s="25">
        <v>5.08</v>
      </c>
      <c r="J184" s="25">
        <v>2.15</v>
      </c>
      <c r="K184" s="33"/>
      <c r="L184" s="25">
        <v>2.72</v>
      </c>
      <c r="M184" s="33">
        <v>13.5</v>
      </c>
      <c r="N184" s="9">
        <v>-1.8528</v>
      </c>
      <c r="O184" s="31">
        <v>102.5</v>
      </c>
      <c r="P184" s="38">
        <v>49.604100000000003</v>
      </c>
      <c r="Q184" s="24"/>
      <c r="R184" s="38"/>
      <c r="T184" s="2"/>
      <c r="U184" s="2"/>
      <c r="V184" s="24"/>
      <c r="W184" s="24"/>
      <c r="X184" s="24"/>
      <c r="Y184" s="24"/>
      <c r="Z184" s="24"/>
      <c r="AA184" s="24"/>
      <c r="AB184" s="24"/>
      <c r="AC184" s="25"/>
      <c r="AD184" s="25"/>
      <c r="AE184" s="25"/>
      <c r="AF184" s="25"/>
      <c r="AH184" s="16"/>
      <c r="AI184" s="25"/>
      <c r="AJ184" s="25"/>
      <c r="AL184" s="9"/>
      <c r="AN184" s="9"/>
      <c r="AP184" s="9"/>
      <c r="AQ184" s="9"/>
    </row>
    <row r="185" spans="1:43">
      <c r="A185" s="13">
        <v>22678</v>
      </c>
      <c r="B185" s="3">
        <v>25.012</v>
      </c>
      <c r="C185" s="24">
        <v>66538</v>
      </c>
      <c r="D185" s="24">
        <v>55187</v>
      </c>
      <c r="E185" s="2">
        <v>5.5</v>
      </c>
      <c r="F185" s="33">
        <v>2.0573000000000001E-2</v>
      </c>
      <c r="G185" s="33">
        <v>1.627E-2</v>
      </c>
      <c r="H185" s="25">
        <v>4.42</v>
      </c>
      <c r="I185" s="25">
        <v>5.07</v>
      </c>
      <c r="J185" s="25">
        <v>2.37</v>
      </c>
      <c r="K185" s="33"/>
      <c r="L185" s="25">
        <v>2.73</v>
      </c>
      <c r="M185" s="33">
        <v>13.5</v>
      </c>
      <c r="N185" s="9">
        <v>0.66686000000000001</v>
      </c>
      <c r="O185" s="31">
        <v>100.2</v>
      </c>
      <c r="P185" s="38">
        <v>36.055799999999998</v>
      </c>
      <c r="Q185" s="24"/>
      <c r="R185" s="38"/>
      <c r="T185" s="2"/>
      <c r="U185" s="2"/>
      <c r="V185" s="24"/>
      <c r="W185" s="24"/>
      <c r="X185" s="24"/>
      <c r="Y185" s="24"/>
      <c r="Z185" s="24"/>
      <c r="AA185" s="24"/>
      <c r="AB185" s="24"/>
      <c r="AC185" s="25"/>
      <c r="AD185" s="25"/>
      <c r="AE185" s="25"/>
      <c r="AF185" s="25"/>
      <c r="AH185" s="16"/>
      <c r="AI185" s="25"/>
      <c r="AJ185" s="25"/>
      <c r="AL185" s="9"/>
      <c r="AN185" s="9"/>
      <c r="AP185" s="9"/>
      <c r="AQ185" s="9"/>
    </row>
    <row r="186" spans="1:43">
      <c r="A186" s="13">
        <v>22706</v>
      </c>
      <c r="B186" s="3">
        <v>25.1462</v>
      </c>
      <c r="C186" s="24">
        <v>66493</v>
      </c>
      <c r="D186" s="24">
        <v>55276</v>
      </c>
      <c r="E186" s="2">
        <v>5.6</v>
      </c>
      <c r="F186" s="33">
        <v>-3.823E-3</v>
      </c>
      <c r="G186" s="33">
        <v>-5.8599999999999998E-3</v>
      </c>
      <c r="H186" s="25">
        <v>4.3899999999999997</v>
      </c>
      <c r="I186" s="25">
        <v>5.04</v>
      </c>
      <c r="J186" s="25">
        <v>2.85</v>
      </c>
      <c r="K186" s="33"/>
      <c r="L186" s="25">
        <v>2.72</v>
      </c>
      <c r="M186" s="33">
        <v>13.5</v>
      </c>
      <c r="N186" s="9">
        <v>2.2418</v>
      </c>
      <c r="O186" s="31">
        <v>100</v>
      </c>
      <c r="P186" s="38">
        <v>38.499920000000003</v>
      </c>
      <c r="Q186" s="24"/>
      <c r="R186" s="38"/>
      <c r="T186" s="2"/>
      <c r="U186" s="2"/>
      <c r="V186" s="24"/>
      <c r="W186" s="24"/>
      <c r="X186" s="24"/>
      <c r="Y186" s="24"/>
      <c r="Z186" s="24"/>
      <c r="AA186" s="24"/>
      <c r="AB186" s="24"/>
      <c r="AC186" s="25"/>
      <c r="AD186" s="25"/>
      <c r="AE186" s="25"/>
      <c r="AF186" s="25"/>
      <c r="AH186" s="16"/>
      <c r="AI186" s="25"/>
      <c r="AJ186" s="25"/>
      <c r="AL186" s="9"/>
      <c r="AN186" s="9"/>
      <c r="AP186" s="9"/>
      <c r="AQ186" s="9"/>
    </row>
    <row r="187" spans="1:43">
      <c r="A187" s="13">
        <v>22737</v>
      </c>
      <c r="B187" s="3">
        <v>25.1999</v>
      </c>
      <c r="C187" s="24">
        <v>66372</v>
      </c>
      <c r="D187" s="24">
        <v>55601</v>
      </c>
      <c r="E187" s="2">
        <v>5.6</v>
      </c>
      <c r="F187" s="33">
        <v>-6.1767000000000002E-2</v>
      </c>
      <c r="G187" s="33">
        <v>-6.1969999999999997E-2</v>
      </c>
      <c r="H187" s="25">
        <v>4.33</v>
      </c>
      <c r="I187" s="25">
        <v>5.0199999999999996</v>
      </c>
      <c r="J187" s="25">
        <v>2.78</v>
      </c>
      <c r="K187" s="33"/>
      <c r="L187" s="25">
        <v>2.73</v>
      </c>
      <c r="M187" s="33">
        <v>13.5</v>
      </c>
      <c r="N187" s="9">
        <v>-1.9626999999999999</v>
      </c>
      <c r="O187" s="31">
        <v>97.9</v>
      </c>
      <c r="P187" s="38">
        <v>30.975069999999999</v>
      </c>
      <c r="Q187" s="24"/>
      <c r="R187" s="38"/>
      <c r="T187" s="2"/>
      <c r="U187" s="2"/>
      <c r="V187" s="24"/>
      <c r="W187" s="24"/>
      <c r="X187" s="24"/>
      <c r="Y187" s="24"/>
      <c r="Z187" s="24"/>
      <c r="AA187" s="24"/>
      <c r="AB187" s="24"/>
      <c r="AC187" s="25"/>
      <c r="AD187" s="25"/>
      <c r="AE187" s="25"/>
      <c r="AF187" s="25"/>
      <c r="AH187" s="16"/>
      <c r="AI187" s="25"/>
      <c r="AJ187" s="25"/>
      <c r="AL187" s="9"/>
      <c r="AN187" s="9"/>
      <c r="AP187" s="9"/>
      <c r="AQ187" s="9"/>
    </row>
    <row r="188" spans="1:43">
      <c r="A188" s="13">
        <v>22767</v>
      </c>
      <c r="B188" s="3">
        <v>25.172999999999998</v>
      </c>
      <c r="C188" s="24">
        <v>66688</v>
      </c>
      <c r="D188" s="24">
        <v>55626</v>
      </c>
      <c r="E188" s="2">
        <v>5.5</v>
      </c>
      <c r="F188" s="33">
        <v>-7.9922999999999994E-2</v>
      </c>
      <c r="G188" s="33">
        <v>-8.5989999999999997E-2</v>
      </c>
      <c r="H188" s="25">
        <v>4.28</v>
      </c>
      <c r="I188" s="25">
        <v>5</v>
      </c>
      <c r="J188" s="25">
        <v>2.36</v>
      </c>
      <c r="K188" s="33"/>
      <c r="L188" s="25">
        <v>2.69</v>
      </c>
      <c r="M188" s="33">
        <v>13.5</v>
      </c>
      <c r="N188" s="9">
        <v>-3.3589000000000002</v>
      </c>
      <c r="O188" s="31">
        <v>97.4</v>
      </c>
      <c r="P188" s="38">
        <v>46.950040000000001</v>
      </c>
      <c r="Q188" s="24"/>
      <c r="R188" s="38"/>
      <c r="T188" s="2"/>
      <c r="U188" s="2"/>
      <c r="V188" s="24"/>
      <c r="W188" s="24"/>
      <c r="X188" s="24"/>
      <c r="Y188" s="24"/>
      <c r="Z188" s="24"/>
      <c r="AA188" s="24"/>
      <c r="AB188" s="24"/>
      <c r="AC188" s="25"/>
      <c r="AD188" s="25"/>
      <c r="AE188" s="25"/>
      <c r="AF188" s="25"/>
      <c r="AH188" s="16"/>
      <c r="AI188" s="25"/>
      <c r="AJ188" s="25"/>
      <c r="AL188" s="9"/>
      <c r="AN188" s="9"/>
      <c r="AP188" s="9"/>
      <c r="AQ188" s="9"/>
    </row>
    <row r="189" spans="1:43">
      <c r="A189" s="13">
        <v>22798</v>
      </c>
      <c r="B189" s="3">
        <v>25.119399999999999</v>
      </c>
      <c r="C189" s="24">
        <v>66670</v>
      </c>
      <c r="D189" s="24">
        <v>55644</v>
      </c>
      <c r="E189" s="2">
        <v>5.5</v>
      </c>
      <c r="F189" s="33">
        <v>-8.0690999999999999E-2</v>
      </c>
      <c r="G189" s="33">
        <v>-8.1837999999999994E-2</v>
      </c>
      <c r="H189" s="25">
        <v>4.28</v>
      </c>
      <c r="I189" s="25">
        <v>5.0199999999999996</v>
      </c>
      <c r="J189" s="25">
        <v>2.68</v>
      </c>
      <c r="K189" s="33"/>
      <c r="L189" s="25">
        <v>2.73</v>
      </c>
      <c r="M189" s="33">
        <v>13.5</v>
      </c>
      <c r="N189" s="9">
        <v>2.3719999999999999</v>
      </c>
      <c r="O189" s="31">
        <v>95</v>
      </c>
      <c r="P189" s="38">
        <v>67.765119999999996</v>
      </c>
      <c r="Q189" s="24"/>
      <c r="R189" s="38"/>
      <c r="T189" s="2"/>
      <c r="U189" s="2"/>
      <c r="V189" s="24"/>
      <c r="W189" s="24"/>
      <c r="X189" s="24"/>
      <c r="Y189" s="24"/>
      <c r="Z189" s="24"/>
      <c r="AA189" s="24"/>
      <c r="AB189" s="24"/>
      <c r="AC189" s="25"/>
      <c r="AD189" s="25"/>
      <c r="AE189" s="25"/>
      <c r="AF189" s="25"/>
      <c r="AH189" s="16"/>
      <c r="AI189" s="25"/>
      <c r="AJ189" s="25"/>
      <c r="AL189" s="9"/>
      <c r="AN189" s="9"/>
      <c r="AP189" s="9"/>
      <c r="AQ189" s="9"/>
    </row>
    <row r="190" spans="1:43">
      <c r="A190" s="13">
        <v>22828</v>
      </c>
      <c r="B190" s="3">
        <v>25.360900000000001</v>
      </c>
      <c r="C190" s="24">
        <v>66483</v>
      </c>
      <c r="D190" s="24">
        <v>55746</v>
      </c>
      <c r="E190" s="2">
        <v>5.4</v>
      </c>
      <c r="F190" s="33">
        <v>6.5282000000000007E-2</v>
      </c>
      <c r="G190" s="33">
        <v>6.3561999999999994E-2</v>
      </c>
      <c r="H190" s="25">
        <v>4.34</v>
      </c>
      <c r="I190" s="25">
        <v>5.05</v>
      </c>
      <c r="J190" s="25">
        <v>2.71</v>
      </c>
      <c r="K190" s="33"/>
      <c r="L190" s="25">
        <v>2.92</v>
      </c>
      <c r="M190" s="33">
        <v>13.5</v>
      </c>
      <c r="N190" s="9">
        <v>0.27106000000000002</v>
      </c>
      <c r="O190" s="31">
        <v>93.8</v>
      </c>
      <c r="P190" s="38">
        <v>80.891850000000005</v>
      </c>
      <c r="Q190" s="24"/>
      <c r="R190" s="38"/>
      <c r="T190" s="2"/>
      <c r="U190" s="2"/>
      <c r="V190" s="24"/>
      <c r="W190" s="24"/>
      <c r="X190" s="24"/>
      <c r="Y190" s="24"/>
      <c r="Z190" s="24"/>
      <c r="AA190" s="24"/>
      <c r="AB190" s="24"/>
      <c r="AC190" s="25"/>
      <c r="AD190" s="25"/>
      <c r="AE190" s="25"/>
      <c r="AF190" s="25"/>
      <c r="AH190" s="16"/>
      <c r="AI190" s="25"/>
      <c r="AJ190" s="25"/>
      <c r="AL190" s="9"/>
      <c r="AN190" s="9"/>
      <c r="AP190" s="9"/>
      <c r="AQ190" s="9"/>
    </row>
    <row r="191" spans="1:43">
      <c r="A191" s="13">
        <v>22859</v>
      </c>
      <c r="B191" s="3">
        <v>25.387699999999999</v>
      </c>
      <c r="C191" s="24">
        <v>66968</v>
      </c>
      <c r="D191" s="24">
        <v>55838</v>
      </c>
      <c r="E191" s="2">
        <v>5.7</v>
      </c>
      <c r="F191" s="33">
        <v>2.1669000000000001E-2</v>
      </c>
      <c r="G191" s="33">
        <v>1.5284000000000001E-2</v>
      </c>
      <c r="H191" s="25">
        <v>4.3499999999999996</v>
      </c>
      <c r="I191" s="25">
        <v>5.0599999999999996</v>
      </c>
      <c r="J191" s="25">
        <v>2.93</v>
      </c>
      <c r="K191" s="33"/>
      <c r="L191" s="25">
        <v>2.82</v>
      </c>
      <c r="M191" s="33">
        <v>13.5</v>
      </c>
      <c r="N191" s="9">
        <v>1.7741</v>
      </c>
      <c r="O191" s="31">
        <v>94.1</v>
      </c>
      <c r="P191" s="38">
        <v>74.213179999999994</v>
      </c>
      <c r="Q191" s="24"/>
      <c r="R191" s="38"/>
      <c r="T191" s="2"/>
      <c r="U191" s="2"/>
      <c r="V191" s="24"/>
      <c r="W191" s="24"/>
      <c r="X191" s="24"/>
      <c r="Y191" s="24"/>
      <c r="Z191" s="24"/>
      <c r="AA191" s="24"/>
      <c r="AB191" s="24"/>
      <c r="AC191" s="25"/>
      <c r="AD191" s="25"/>
      <c r="AE191" s="25"/>
      <c r="AF191" s="25"/>
      <c r="AH191" s="16"/>
      <c r="AI191" s="25"/>
      <c r="AJ191" s="25"/>
      <c r="AL191" s="9"/>
      <c r="AN191" s="9"/>
      <c r="AP191" s="9"/>
      <c r="AQ191" s="9"/>
    </row>
    <row r="192" spans="1:43">
      <c r="A192" s="13">
        <v>22890</v>
      </c>
      <c r="B192" s="3">
        <v>25.5488</v>
      </c>
      <c r="C192" s="24">
        <v>67192</v>
      </c>
      <c r="D192" s="24">
        <v>55977</v>
      </c>
      <c r="E192" s="2">
        <v>5.6</v>
      </c>
      <c r="F192" s="33">
        <v>-4.8815999999999998E-2</v>
      </c>
      <c r="G192" s="33">
        <v>-4.8207E-2</v>
      </c>
      <c r="H192" s="25">
        <v>4.32</v>
      </c>
      <c r="I192" s="25">
        <v>5.03</v>
      </c>
      <c r="J192" s="25">
        <v>2.9</v>
      </c>
      <c r="K192" s="33"/>
      <c r="L192" s="25">
        <v>2.78</v>
      </c>
      <c r="M192" s="33">
        <v>13.5</v>
      </c>
      <c r="N192" s="9">
        <v>0.22906000000000001</v>
      </c>
      <c r="O192" s="31">
        <v>93.6</v>
      </c>
      <c r="P192" s="38">
        <v>47.363779999999998</v>
      </c>
      <c r="Q192" s="24"/>
      <c r="R192" s="38"/>
      <c r="T192" s="2"/>
      <c r="U192" s="2"/>
      <c r="V192" s="24"/>
      <c r="W192" s="24"/>
      <c r="X192" s="24"/>
      <c r="Y192" s="24"/>
      <c r="Z192" s="24"/>
      <c r="AA192" s="24"/>
      <c r="AB192" s="24"/>
      <c r="AC192" s="25"/>
      <c r="AD192" s="25"/>
      <c r="AE192" s="25"/>
      <c r="AF192" s="25"/>
      <c r="AH192" s="16"/>
      <c r="AI192" s="25"/>
      <c r="AJ192" s="25"/>
      <c r="AL192" s="9"/>
      <c r="AN192" s="9"/>
      <c r="AP192" s="9"/>
      <c r="AQ192" s="9"/>
    </row>
    <row r="193" spans="1:43">
      <c r="A193" s="13">
        <v>22920</v>
      </c>
      <c r="B193" s="3">
        <v>25.575600000000001</v>
      </c>
      <c r="C193" s="24">
        <v>67114</v>
      </c>
      <c r="D193" s="24">
        <v>56041</v>
      </c>
      <c r="E193" s="2">
        <v>5.4</v>
      </c>
      <c r="F193" s="33">
        <v>8.3129999999999992E-3</v>
      </c>
      <c r="G193" s="33">
        <v>4.4429999999999999E-3</v>
      </c>
      <c r="H193" s="25">
        <v>4.28</v>
      </c>
      <c r="I193" s="25">
        <v>4.99</v>
      </c>
      <c r="J193" s="25">
        <v>2.9</v>
      </c>
      <c r="K193" s="33"/>
      <c r="L193" s="25">
        <v>2.74</v>
      </c>
      <c r="M193" s="33">
        <v>13.5</v>
      </c>
      <c r="N193" s="9">
        <v>-8.0645999999999995E-2</v>
      </c>
      <c r="O193" s="31">
        <v>94.5</v>
      </c>
      <c r="P193" s="38">
        <v>57.385649999999998</v>
      </c>
      <c r="Q193" s="24"/>
      <c r="R193" s="38"/>
      <c r="T193" s="2"/>
      <c r="U193" s="2"/>
      <c r="V193" s="24"/>
      <c r="W193" s="24"/>
      <c r="X193" s="24"/>
      <c r="Y193" s="24"/>
      <c r="Z193" s="24"/>
      <c r="AA193" s="24"/>
      <c r="AB193" s="24"/>
      <c r="AC193" s="25"/>
      <c r="AD193" s="25"/>
      <c r="AE193" s="25"/>
      <c r="AF193" s="25"/>
      <c r="AH193" s="16"/>
      <c r="AI193" s="25"/>
      <c r="AJ193" s="25"/>
      <c r="AL193" s="9"/>
      <c r="AN193" s="9"/>
      <c r="AP193" s="9"/>
      <c r="AQ193" s="9"/>
    </row>
    <row r="194" spans="1:43">
      <c r="A194" s="13">
        <v>22951</v>
      </c>
      <c r="B194" s="3">
        <v>25.6829</v>
      </c>
      <c r="C194" s="24">
        <v>66847</v>
      </c>
      <c r="D194" s="24">
        <v>56055</v>
      </c>
      <c r="E194" s="2">
        <v>5.7</v>
      </c>
      <c r="F194" s="33">
        <v>0.108268</v>
      </c>
      <c r="G194" s="33">
        <v>0.10155699999999999</v>
      </c>
      <c r="H194" s="25">
        <v>4.25</v>
      </c>
      <c r="I194" s="25">
        <v>4.96</v>
      </c>
      <c r="J194" s="25">
        <v>2.94</v>
      </c>
      <c r="K194" s="33"/>
      <c r="L194" s="25">
        <v>2.83</v>
      </c>
      <c r="M194" s="33">
        <v>13.5</v>
      </c>
      <c r="N194" s="9">
        <v>0.30789</v>
      </c>
      <c r="O194" s="31">
        <v>96</v>
      </c>
      <c r="P194" s="38">
        <v>38.00468</v>
      </c>
      <c r="Q194" s="24"/>
      <c r="R194" s="38"/>
      <c r="T194" s="2"/>
      <c r="U194" s="2"/>
      <c r="V194" s="24"/>
      <c r="W194" s="24"/>
      <c r="X194" s="24"/>
      <c r="Y194" s="24"/>
      <c r="Z194" s="24"/>
      <c r="AA194" s="24"/>
      <c r="AB194" s="24"/>
      <c r="AC194" s="25"/>
      <c r="AD194" s="25"/>
      <c r="AE194" s="25"/>
      <c r="AF194" s="25"/>
      <c r="AH194" s="16"/>
      <c r="AI194" s="25"/>
      <c r="AJ194" s="25"/>
      <c r="AL194" s="9"/>
      <c r="AN194" s="9"/>
      <c r="AP194" s="9"/>
      <c r="AQ194" s="9"/>
    </row>
    <row r="195" spans="1:43">
      <c r="A195" s="13">
        <v>22981</v>
      </c>
      <c r="B195" s="3">
        <v>25.6829</v>
      </c>
      <c r="C195" s="24">
        <v>66947</v>
      </c>
      <c r="D195" s="24">
        <v>56027</v>
      </c>
      <c r="E195" s="2">
        <v>5.5</v>
      </c>
      <c r="F195" s="33">
        <v>1.5533999999999999E-2</v>
      </c>
      <c r="G195" s="33">
        <v>1.3492000000000001E-2</v>
      </c>
      <c r="H195" s="25">
        <v>4.24</v>
      </c>
      <c r="I195" s="25">
        <v>4.92</v>
      </c>
      <c r="J195" s="25">
        <v>2.93</v>
      </c>
      <c r="K195" s="33"/>
      <c r="L195" s="25">
        <v>2.87</v>
      </c>
      <c r="M195" s="33">
        <v>13.5</v>
      </c>
      <c r="N195" s="9">
        <v>0.12576000000000001</v>
      </c>
      <c r="O195" s="31">
        <v>95.4</v>
      </c>
      <c r="P195" s="38">
        <v>44.688569999999999</v>
      </c>
      <c r="Q195" s="24"/>
      <c r="R195" s="38"/>
      <c r="T195" s="2"/>
      <c r="U195" s="2"/>
      <c r="V195" s="24"/>
      <c r="W195" s="24"/>
      <c r="X195" s="24"/>
      <c r="Y195" s="24"/>
      <c r="Z195" s="24"/>
      <c r="AA195" s="24"/>
      <c r="AB195" s="24"/>
      <c r="AC195" s="25"/>
      <c r="AD195" s="25"/>
      <c r="AE195" s="25"/>
      <c r="AF195" s="25"/>
      <c r="AH195" s="16"/>
      <c r="AI195" s="25"/>
      <c r="AJ195" s="25"/>
      <c r="AL195" s="9"/>
      <c r="AN195" s="9"/>
      <c r="AP195" s="9"/>
      <c r="AQ195" s="9"/>
    </row>
    <row r="196" spans="1:43">
      <c r="A196" s="13">
        <v>23012</v>
      </c>
      <c r="B196" s="3">
        <v>25.870799999999999</v>
      </c>
      <c r="C196" s="24">
        <v>67072</v>
      </c>
      <c r="D196" s="24">
        <v>56116</v>
      </c>
      <c r="E196" s="2">
        <v>5.7</v>
      </c>
      <c r="F196" s="33">
        <v>5.0367000000000002E-2</v>
      </c>
      <c r="G196" s="33">
        <v>4.9127999999999998E-2</v>
      </c>
      <c r="H196" s="25">
        <v>4.21</v>
      </c>
      <c r="I196" s="25">
        <v>4.91</v>
      </c>
      <c r="J196" s="25">
        <v>2.92</v>
      </c>
      <c r="K196" s="33"/>
      <c r="L196" s="25">
        <v>2.91</v>
      </c>
      <c r="M196" s="33">
        <v>13.5</v>
      </c>
      <c r="N196" s="9">
        <v>0.63829999999999998</v>
      </c>
      <c r="O196" s="31">
        <v>95.1</v>
      </c>
      <c r="P196" s="38">
        <v>63.521030000000003</v>
      </c>
      <c r="Q196" s="24"/>
      <c r="R196" s="38"/>
      <c r="T196" s="2"/>
      <c r="U196" s="2"/>
      <c r="V196" s="24"/>
      <c r="W196" s="24"/>
      <c r="X196" s="24"/>
      <c r="Y196" s="24"/>
      <c r="Z196" s="24"/>
      <c r="AA196" s="24"/>
      <c r="AB196" s="24"/>
      <c r="AC196" s="25"/>
      <c r="AD196" s="25"/>
      <c r="AE196" s="25"/>
      <c r="AF196" s="25"/>
      <c r="AH196" s="16"/>
      <c r="AI196" s="25"/>
      <c r="AJ196" s="25"/>
      <c r="AL196" s="9"/>
      <c r="AN196" s="9"/>
      <c r="AP196" s="9"/>
      <c r="AQ196" s="9"/>
    </row>
    <row r="197" spans="1:43">
      <c r="A197" s="13">
        <v>23043</v>
      </c>
      <c r="B197" s="3">
        <v>26.166</v>
      </c>
      <c r="C197" s="24">
        <v>67024</v>
      </c>
      <c r="D197" s="24">
        <v>56231</v>
      </c>
      <c r="E197" s="2">
        <v>5.9</v>
      </c>
      <c r="F197" s="33">
        <v>-2.4188999999999999E-2</v>
      </c>
      <c r="G197" s="33">
        <v>-2.8851999999999999E-2</v>
      </c>
      <c r="H197" s="25">
        <v>4.1900000000000004</v>
      </c>
      <c r="I197" s="25">
        <v>4.8899999999999997</v>
      </c>
      <c r="J197" s="25">
        <v>3</v>
      </c>
      <c r="K197" s="33"/>
      <c r="L197" s="25">
        <v>2.92</v>
      </c>
      <c r="M197" s="33">
        <v>13.5</v>
      </c>
      <c r="N197" s="9">
        <v>0.88239000000000001</v>
      </c>
      <c r="O197" s="31">
        <v>94.7</v>
      </c>
      <c r="P197" s="38">
        <v>52.357129999999998</v>
      </c>
      <c r="Q197" s="24"/>
      <c r="R197" s="38"/>
      <c r="T197" s="2"/>
      <c r="U197" s="2"/>
      <c r="V197" s="24"/>
      <c r="W197" s="24"/>
      <c r="X197" s="24"/>
      <c r="Y197" s="24"/>
      <c r="Z197" s="24"/>
      <c r="AA197" s="24"/>
      <c r="AB197" s="24"/>
      <c r="AC197" s="25"/>
      <c r="AD197" s="25"/>
      <c r="AE197" s="25"/>
      <c r="AF197" s="25"/>
      <c r="AH197" s="16"/>
      <c r="AI197" s="25"/>
      <c r="AJ197" s="25"/>
      <c r="AL197" s="9"/>
      <c r="AN197" s="9"/>
      <c r="AP197" s="9"/>
      <c r="AQ197" s="9"/>
    </row>
    <row r="198" spans="1:43">
      <c r="A198" s="13">
        <v>23071</v>
      </c>
      <c r="B198" s="3">
        <v>26.327000000000002</v>
      </c>
      <c r="C198" s="24">
        <v>67351</v>
      </c>
      <c r="D198" s="24">
        <v>56322</v>
      </c>
      <c r="E198" s="2">
        <v>5.7</v>
      </c>
      <c r="F198" s="33">
        <v>3.6581000000000002E-2</v>
      </c>
      <c r="G198" s="33">
        <v>3.5464000000000002E-2</v>
      </c>
      <c r="H198" s="25">
        <v>4.1900000000000004</v>
      </c>
      <c r="I198" s="25">
        <v>4.88</v>
      </c>
      <c r="J198" s="25">
        <v>2.98</v>
      </c>
      <c r="K198" s="33"/>
      <c r="L198" s="25">
        <v>2.89</v>
      </c>
      <c r="M198" s="33">
        <v>13.5</v>
      </c>
      <c r="N198" s="9">
        <v>-0.11088000000000001</v>
      </c>
      <c r="O198" s="31">
        <v>94</v>
      </c>
      <c r="P198" s="38">
        <v>48.037430000000001</v>
      </c>
      <c r="Q198" s="24"/>
      <c r="R198" s="38"/>
      <c r="T198" s="2"/>
      <c r="U198" s="2"/>
      <c r="V198" s="24"/>
      <c r="W198" s="24"/>
      <c r="X198" s="24"/>
      <c r="Y198" s="24"/>
      <c r="Z198" s="24"/>
      <c r="AA198" s="24"/>
      <c r="AB198" s="24"/>
      <c r="AC198" s="25"/>
      <c r="AD198" s="25"/>
      <c r="AE198" s="25"/>
      <c r="AF198" s="25"/>
      <c r="AH198" s="16"/>
      <c r="AI198" s="25"/>
      <c r="AJ198" s="25"/>
      <c r="AL198" s="9"/>
      <c r="AN198" s="9"/>
      <c r="AP198" s="9"/>
      <c r="AQ198" s="9"/>
    </row>
    <row r="199" spans="1:43">
      <c r="A199" s="13">
        <v>23102</v>
      </c>
      <c r="B199" s="3">
        <v>26.5686</v>
      </c>
      <c r="C199" s="24">
        <v>67642</v>
      </c>
      <c r="D199" s="24">
        <v>56580</v>
      </c>
      <c r="E199" s="2">
        <v>5.7</v>
      </c>
      <c r="F199" s="33">
        <v>4.9070000000000003E-2</v>
      </c>
      <c r="G199" s="33">
        <v>4.8520000000000001E-2</v>
      </c>
      <c r="H199" s="25">
        <v>4.21</v>
      </c>
      <c r="I199" s="25">
        <v>4.87</v>
      </c>
      <c r="J199" s="25">
        <v>2.9</v>
      </c>
      <c r="K199" s="33"/>
      <c r="L199" s="25">
        <v>2.9</v>
      </c>
      <c r="M199" s="33">
        <v>13.5</v>
      </c>
      <c r="N199" s="9">
        <v>-0.26235000000000003</v>
      </c>
      <c r="O199" s="31">
        <v>94.1</v>
      </c>
      <c r="P199" s="38">
        <v>41.961150000000004</v>
      </c>
      <c r="Q199" s="24"/>
      <c r="R199" s="38"/>
      <c r="T199" s="2"/>
      <c r="U199" s="2"/>
      <c r="V199" s="24"/>
      <c r="W199" s="24"/>
      <c r="X199" s="24"/>
      <c r="Y199" s="24"/>
      <c r="Z199" s="24"/>
      <c r="AA199" s="24"/>
      <c r="AB199" s="24"/>
      <c r="AC199" s="25"/>
      <c r="AD199" s="25"/>
      <c r="AE199" s="25"/>
      <c r="AF199" s="25"/>
      <c r="AH199" s="16"/>
      <c r="AI199" s="25"/>
      <c r="AJ199" s="25"/>
      <c r="AL199" s="9"/>
      <c r="AN199" s="9"/>
      <c r="AP199" s="9"/>
      <c r="AQ199" s="9"/>
    </row>
    <row r="200" spans="1:43">
      <c r="A200" s="13">
        <v>23132</v>
      </c>
      <c r="B200" s="3">
        <v>26.890599999999999</v>
      </c>
      <c r="C200" s="24">
        <v>67615</v>
      </c>
      <c r="D200" s="24">
        <v>56616</v>
      </c>
      <c r="E200" s="2">
        <v>5.9</v>
      </c>
      <c r="F200" s="33">
        <v>1.9674000000000001E-2</v>
      </c>
      <c r="G200" s="33">
        <v>1.4326999999999999E-2</v>
      </c>
      <c r="H200" s="25">
        <v>4.22</v>
      </c>
      <c r="I200" s="25">
        <v>4.8499999999999996</v>
      </c>
      <c r="J200" s="25">
        <v>3</v>
      </c>
      <c r="K200" s="33"/>
      <c r="L200" s="25">
        <v>2.93</v>
      </c>
      <c r="M200" s="33">
        <v>13.5</v>
      </c>
      <c r="N200" s="9">
        <v>0.81837000000000004</v>
      </c>
      <c r="O200" s="31">
        <v>94.8</v>
      </c>
      <c r="P200" s="38">
        <v>46.757339999999999</v>
      </c>
      <c r="Q200" s="24"/>
      <c r="R200" s="38"/>
      <c r="T200" s="2"/>
      <c r="U200" s="2"/>
      <c r="V200" s="24"/>
      <c r="W200" s="24"/>
      <c r="X200" s="24"/>
      <c r="Y200" s="24"/>
      <c r="Z200" s="24"/>
      <c r="AA200" s="24"/>
      <c r="AB200" s="24"/>
      <c r="AC200" s="25"/>
      <c r="AD200" s="25"/>
      <c r="AE200" s="25"/>
      <c r="AF200" s="25"/>
      <c r="AH200" s="16"/>
      <c r="AI200" s="25"/>
      <c r="AJ200" s="25"/>
      <c r="AL200" s="9"/>
      <c r="AN200" s="9"/>
      <c r="AP200" s="9"/>
      <c r="AQ200" s="9"/>
    </row>
    <row r="201" spans="1:43">
      <c r="A201" s="13">
        <v>23163</v>
      </c>
      <c r="B201" s="3">
        <v>26.9711</v>
      </c>
      <c r="C201" s="24">
        <v>67649</v>
      </c>
      <c r="D201" s="24">
        <v>56658</v>
      </c>
      <c r="E201" s="2">
        <v>5.6</v>
      </c>
      <c r="F201" s="33">
        <v>-1.8605E-2</v>
      </c>
      <c r="G201" s="33">
        <v>-2.0198000000000001E-2</v>
      </c>
      <c r="H201" s="25">
        <v>4.2300000000000004</v>
      </c>
      <c r="I201" s="25">
        <v>4.84</v>
      </c>
      <c r="J201" s="25">
        <v>2.99</v>
      </c>
      <c r="K201" s="33"/>
      <c r="L201" s="25">
        <v>2.99</v>
      </c>
      <c r="M201" s="33">
        <v>13.5</v>
      </c>
      <c r="N201" s="9">
        <v>0.43864999999999998</v>
      </c>
      <c r="O201" s="31">
        <v>93.5</v>
      </c>
      <c r="P201" s="38">
        <v>64.013099999999994</v>
      </c>
      <c r="Q201" s="24"/>
      <c r="R201" s="38"/>
      <c r="T201" s="2"/>
      <c r="U201" s="2"/>
      <c r="V201" s="24"/>
      <c r="W201" s="24"/>
      <c r="X201" s="24"/>
      <c r="Y201" s="24"/>
      <c r="Z201" s="24"/>
      <c r="AA201" s="24"/>
      <c r="AB201" s="24"/>
      <c r="AC201" s="25"/>
      <c r="AD201" s="25"/>
      <c r="AE201" s="25"/>
      <c r="AF201" s="25"/>
      <c r="AH201" s="16"/>
      <c r="AI201" s="25"/>
      <c r="AJ201" s="25"/>
      <c r="AL201" s="9"/>
      <c r="AN201" s="9"/>
      <c r="AP201" s="9"/>
      <c r="AQ201" s="9"/>
    </row>
    <row r="202" spans="1:43">
      <c r="A202" s="13">
        <v>23193</v>
      </c>
      <c r="B202" s="3">
        <v>26.863800000000001</v>
      </c>
      <c r="C202" s="24">
        <v>67905</v>
      </c>
      <c r="D202" s="24">
        <v>56795</v>
      </c>
      <c r="E202" s="2">
        <v>5.6</v>
      </c>
      <c r="F202" s="33">
        <v>-1.8209999999999999E-3</v>
      </c>
      <c r="G202" s="33">
        <v>-3.46E-3</v>
      </c>
      <c r="H202" s="25">
        <v>4.26</v>
      </c>
      <c r="I202" s="25">
        <v>4.84</v>
      </c>
      <c r="J202" s="25">
        <v>3.02</v>
      </c>
      <c r="K202" s="33"/>
      <c r="L202" s="25">
        <v>3.18</v>
      </c>
      <c r="M202" s="33">
        <v>13.5</v>
      </c>
      <c r="N202" s="9">
        <v>-0.21078</v>
      </c>
      <c r="O202" s="31">
        <v>93.8</v>
      </c>
      <c r="P202" s="38">
        <v>71.074610000000007</v>
      </c>
      <c r="Q202" s="24"/>
      <c r="R202" s="38"/>
      <c r="T202" s="2"/>
      <c r="U202" s="2"/>
      <c r="V202" s="24"/>
      <c r="W202" s="24"/>
      <c r="X202" s="24"/>
      <c r="Y202" s="24"/>
      <c r="Z202" s="24"/>
      <c r="AA202" s="24"/>
      <c r="AB202" s="24"/>
      <c r="AC202" s="25"/>
      <c r="AD202" s="25"/>
      <c r="AE202" s="25"/>
      <c r="AF202" s="25"/>
      <c r="AH202" s="16"/>
      <c r="AI202" s="25"/>
      <c r="AJ202" s="25"/>
      <c r="AL202" s="9"/>
      <c r="AN202" s="9"/>
      <c r="AP202" s="9"/>
      <c r="AQ202" s="9"/>
    </row>
    <row r="203" spans="1:43">
      <c r="A203" s="13">
        <v>23224</v>
      </c>
      <c r="B203" s="3">
        <v>26.917400000000001</v>
      </c>
      <c r="C203" s="24">
        <v>67908</v>
      </c>
      <c r="D203" s="24">
        <v>56910</v>
      </c>
      <c r="E203" s="2">
        <v>5.4</v>
      </c>
      <c r="F203" s="33">
        <v>5.3466E-2</v>
      </c>
      <c r="G203" s="33">
        <v>4.8749000000000001E-2</v>
      </c>
      <c r="H203" s="25">
        <v>4.29</v>
      </c>
      <c r="I203" s="25">
        <v>4.83</v>
      </c>
      <c r="J203" s="25">
        <v>3.49</v>
      </c>
      <c r="K203" s="33"/>
      <c r="L203" s="25">
        <v>3.32</v>
      </c>
      <c r="M203" s="33">
        <v>13.5</v>
      </c>
      <c r="N203" s="9">
        <v>2.7949000000000002</v>
      </c>
      <c r="O203" s="31">
        <v>93.8</v>
      </c>
      <c r="P203" s="38">
        <v>52.645209999999999</v>
      </c>
      <c r="Q203" s="24"/>
      <c r="R203" s="38"/>
      <c r="T203" s="2"/>
      <c r="U203" s="2"/>
      <c r="V203" s="24"/>
      <c r="W203" s="24"/>
      <c r="X203" s="24"/>
      <c r="Y203" s="24"/>
      <c r="Z203" s="24"/>
      <c r="AA203" s="24"/>
      <c r="AB203" s="24"/>
      <c r="AC203" s="25"/>
      <c r="AD203" s="25"/>
      <c r="AE203" s="25"/>
      <c r="AF203" s="25"/>
      <c r="AH203" s="16"/>
      <c r="AI203" s="25"/>
      <c r="AJ203" s="25"/>
      <c r="AL203" s="9"/>
      <c r="AN203" s="9"/>
      <c r="AP203" s="9"/>
      <c r="AQ203" s="9"/>
    </row>
    <row r="204" spans="1:43">
      <c r="A204" s="13">
        <v>23255</v>
      </c>
      <c r="B204" s="3">
        <v>27.1858</v>
      </c>
      <c r="C204" s="24">
        <v>68174</v>
      </c>
      <c r="D204" s="24">
        <v>57078</v>
      </c>
      <c r="E204" s="2">
        <v>5.5</v>
      </c>
      <c r="F204" s="33">
        <v>-1.0402E-2</v>
      </c>
      <c r="G204" s="33">
        <v>-1.1034E-2</v>
      </c>
      <c r="H204" s="25">
        <v>4.3099999999999996</v>
      </c>
      <c r="I204" s="25">
        <v>4.84</v>
      </c>
      <c r="J204" s="25">
        <v>3.48</v>
      </c>
      <c r="K204" s="33"/>
      <c r="L204" s="25">
        <v>3.38</v>
      </c>
      <c r="M204" s="33">
        <v>13.5</v>
      </c>
      <c r="N204" s="9">
        <v>-1.0178</v>
      </c>
      <c r="O204" s="31">
        <v>93.7</v>
      </c>
      <c r="P204" s="38">
        <v>61.936680000000003</v>
      </c>
      <c r="Q204" s="24"/>
      <c r="R204" s="38"/>
      <c r="T204" s="2"/>
      <c r="U204" s="2"/>
      <c r="V204" s="24"/>
      <c r="W204" s="24"/>
      <c r="X204" s="24"/>
      <c r="Y204" s="24"/>
      <c r="Z204" s="24"/>
      <c r="AA204" s="24"/>
      <c r="AB204" s="24"/>
      <c r="AC204" s="25"/>
      <c r="AD204" s="25"/>
      <c r="AE204" s="25"/>
      <c r="AF204" s="25"/>
      <c r="AH204" s="16"/>
      <c r="AI204" s="25"/>
      <c r="AJ204" s="25"/>
      <c r="AL204" s="9"/>
      <c r="AN204" s="9"/>
      <c r="AP204" s="9"/>
      <c r="AQ204" s="9"/>
    </row>
    <row r="205" spans="1:43">
      <c r="A205" s="13">
        <v>23285</v>
      </c>
      <c r="B205" s="3">
        <v>27.373699999999999</v>
      </c>
      <c r="C205" s="24">
        <v>68294</v>
      </c>
      <c r="D205" s="24">
        <v>57284</v>
      </c>
      <c r="E205" s="2">
        <v>5.5</v>
      </c>
      <c r="F205" s="33">
        <v>3.4825000000000002E-2</v>
      </c>
      <c r="G205" s="33">
        <v>3.2217999999999997E-2</v>
      </c>
      <c r="H205" s="25">
        <v>4.32</v>
      </c>
      <c r="I205" s="25">
        <v>4.83</v>
      </c>
      <c r="J205" s="25">
        <v>3.5</v>
      </c>
      <c r="K205" s="33"/>
      <c r="L205" s="25">
        <v>3.45</v>
      </c>
      <c r="M205" s="33">
        <v>13.4</v>
      </c>
      <c r="N205" s="9">
        <v>-0.24793000000000001</v>
      </c>
      <c r="O205" s="31">
        <v>95.9</v>
      </c>
      <c r="P205" s="38">
        <v>45.865780000000001</v>
      </c>
      <c r="Q205" s="24"/>
      <c r="R205" s="38"/>
      <c r="T205" s="2"/>
      <c r="U205" s="2"/>
      <c r="V205" s="24"/>
      <c r="W205" s="24"/>
      <c r="X205" s="24"/>
      <c r="Y205" s="24"/>
      <c r="Z205" s="24"/>
      <c r="AA205" s="24"/>
      <c r="AB205" s="24"/>
      <c r="AC205" s="25"/>
      <c r="AD205" s="25"/>
      <c r="AE205" s="25"/>
      <c r="AF205" s="25"/>
      <c r="AH205" s="16"/>
      <c r="AI205" s="25"/>
      <c r="AJ205" s="25"/>
      <c r="AL205" s="9"/>
      <c r="AN205" s="9"/>
      <c r="AP205" s="9"/>
      <c r="AQ205" s="9"/>
    </row>
    <row r="206" spans="1:43">
      <c r="A206" s="13">
        <v>23316</v>
      </c>
      <c r="B206" s="3">
        <v>27.5078</v>
      </c>
      <c r="C206" s="24">
        <v>68267</v>
      </c>
      <c r="D206" s="24">
        <v>57255</v>
      </c>
      <c r="E206" s="2">
        <v>5.7</v>
      </c>
      <c r="F206" s="33">
        <v>-4.4869999999999997E-3</v>
      </c>
      <c r="G206" s="33">
        <v>-1.0539E-2</v>
      </c>
      <c r="H206" s="25">
        <v>4.33</v>
      </c>
      <c r="I206" s="25">
        <v>4.84</v>
      </c>
      <c r="J206" s="25">
        <v>3.48</v>
      </c>
      <c r="K206" s="33"/>
      <c r="L206" s="25">
        <v>3.52</v>
      </c>
      <c r="M206" s="33">
        <v>13.4</v>
      </c>
      <c r="N206" s="9">
        <v>-0.97982999999999998</v>
      </c>
      <c r="O206" s="31">
        <v>96.9</v>
      </c>
      <c r="P206" s="38">
        <v>67.921049999999994</v>
      </c>
      <c r="Q206" s="24"/>
      <c r="R206" s="38"/>
      <c r="T206" s="2"/>
      <c r="U206" s="2"/>
      <c r="V206" s="24"/>
      <c r="W206" s="24"/>
      <c r="X206" s="24"/>
      <c r="Y206" s="24"/>
      <c r="Z206" s="24"/>
      <c r="AA206" s="24"/>
      <c r="AB206" s="24"/>
      <c r="AC206" s="25"/>
      <c r="AD206" s="25"/>
      <c r="AE206" s="25"/>
      <c r="AF206" s="25"/>
      <c r="AH206" s="16"/>
      <c r="AI206" s="25"/>
      <c r="AJ206" s="25"/>
      <c r="AL206" s="9"/>
      <c r="AN206" s="9"/>
      <c r="AP206" s="9"/>
      <c r="AQ206" s="9"/>
    </row>
    <row r="207" spans="1:43">
      <c r="A207" s="13">
        <v>23346</v>
      </c>
      <c r="B207" s="3">
        <v>27.4542</v>
      </c>
      <c r="C207" s="24">
        <v>68213</v>
      </c>
      <c r="D207" s="24">
        <v>57360</v>
      </c>
      <c r="E207" s="2">
        <v>5.5</v>
      </c>
      <c r="F207" s="33">
        <v>2.6065000000000001E-2</v>
      </c>
      <c r="G207" s="33">
        <v>2.4444E-2</v>
      </c>
      <c r="H207" s="25">
        <v>4.3499999999999996</v>
      </c>
      <c r="I207" s="25">
        <v>4.8499999999999996</v>
      </c>
      <c r="J207" s="25">
        <v>3.38</v>
      </c>
      <c r="K207" s="33"/>
      <c r="L207" s="25">
        <v>3.52</v>
      </c>
      <c r="M207" s="33">
        <v>13.4</v>
      </c>
      <c r="N207" s="9">
        <v>7.9443E-2</v>
      </c>
      <c r="O207" s="31">
        <v>97.3</v>
      </c>
      <c r="P207" s="38">
        <v>83.261859999999999</v>
      </c>
      <c r="Q207" s="24"/>
      <c r="R207" s="38"/>
      <c r="T207" s="2"/>
      <c r="U207" s="2"/>
      <c r="V207" s="24"/>
      <c r="W207" s="24"/>
      <c r="X207" s="24"/>
      <c r="Y207" s="24"/>
      <c r="Z207" s="24"/>
      <c r="AA207" s="24"/>
      <c r="AB207" s="24"/>
      <c r="AC207" s="25"/>
      <c r="AD207" s="25"/>
      <c r="AE207" s="25"/>
      <c r="AF207" s="25"/>
      <c r="AH207" s="16"/>
      <c r="AI207" s="25"/>
      <c r="AJ207" s="25"/>
      <c r="AL207" s="9"/>
      <c r="AN207" s="9"/>
      <c r="AP207" s="9"/>
      <c r="AQ207" s="9"/>
    </row>
    <row r="208" spans="1:43">
      <c r="A208" s="13">
        <v>23377</v>
      </c>
      <c r="B208" s="3">
        <v>27.695699999999999</v>
      </c>
      <c r="C208" s="24">
        <v>68327</v>
      </c>
      <c r="D208" s="24">
        <v>57487</v>
      </c>
      <c r="E208" s="2">
        <v>5.6</v>
      </c>
      <c r="F208" s="33">
        <v>2.7390999999999999E-2</v>
      </c>
      <c r="G208" s="33">
        <v>2.6925999999999999E-2</v>
      </c>
      <c r="H208" s="25">
        <v>4.3899999999999997</v>
      </c>
      <c r="I208" s="25">
        <v>4.83</v>
      </c>
      <c r="J208" s="25">
        <v>3.48</v>
      </c>
      <c r="K208" s="33"/>
      <c r="L208" s="25">
        <v>3.52</v>
      </c>
      <c r="M208" s="33">
        <v>13.4</v>
      </c>
      <c r="N208" s="9">
        <v>0.31694</v>
      </c>
      <c r="O208" s="31">
        <v>98.1</v>
      </c>
      <c r="P208" s="38">
        <v>74.994640000000004</v>
      </c>
      <c r="Q208" s="24"/>
      <c r="R208" s="38"/>
      <c r="T208" s="2"/>
      <c r="U208" s="2"/>
      <c r="V208" s="24"/>
      <c r="W208" s="24"/>
      <c r="X208" s="24"/>
      <c r="Y208" s="24"/>
      <c r="Z208" s="24"/>
      <c r="AA208" s="24"/>
      <c r="AB208" s="24"/>
      <c r="AC208" s="25"/>
      <c r="AD208" s="25"/>
      <c r="AE208" s="25"/>
      <c r="AF208" s="25"/>
      <c r="AH208" s="16"/>
      <c r="AI208" s="25"/>
      <c r="AJ208" s="25"/>
      <c r="AL208" s="9"/>
      <c r="AN208" s="9"/>
      <c r="AP208" s="9"/>
      <c r="AQ208" s="9"/>
    </row>
    <row r="209" spans="1:43">
      <c r="A209" s="13">
        <v>23408</v>
      </c>
      <c r="B209" s="3">
        <v>27.883600000000001</v>
      </c>
      <c r="C209" s="24">
        <v>68751</v>
      </c>
      <c r="D209" s="24">
        <v>57752</v>
      </c>
      <c r="E209" s="2">
        <v>5.4</v>
      </c>
      <c r="F209" s="33">
        <v>1.7014999999999999E-2</v>
      </c>
      <c r="G209" s="33">
        <v>9.8650000000000005E-3</v>
      </c>
      <c r="H209" s="25">
        <v>4.3600000000000003</v>
      </c>
      <c r="I209" s="25">
        <v>4.83</v>
      </c>
      <c r="J209" s="25">
        <v>3.48</v>
      </c>
      <c r="K209" s="33"/>
      <c r="L209" s="25">
        <v>3.53</v>
      </c>
      <c r="M209" s="33">
        <v>13.4</v>
      </c>
      <c r="N209" s="9">
        <v>-0.25419999999999998</v>
      </c>
      <c r="O209" s="31">
        <v>98.1</v>
      </c>
      <c r="P209" s="38">
        <v>40.96058</v>
      </c>
      <c r="Q209" s="24"/>
      <c r="R209" s="38"/>
      <c r="T209" s="2"/>
      <c r="U209" s="2"/>
      <c r="V209" s="24"/>
      <c r="W209" s="24"/>
      <c r="X209" s="24"/>
      <c r="Y209" s="24"/>
      <c r="Z209" s="24"/>
      <c r="AA209" s="24"/>
      <c r="AB209" s="24"/>
      <c r="AC209" s="25"/>
      <c r="AD209" s="25"/>
      <c r="AE209" s="25"/>
      <c r="AF209" s="25"/>
      <c r="AH209" s="16"/>
      <c r="AI209" s="25"/>
      <c r="AJ209" s="25"/>
      <c r="AL209" s="9"/>
      <c r="AN209" s="9"/>
      <c r="AP209" s="9"/>
      <c r="AQ209" s="9"/>
    </row>
    <row r="210" spans="1:43">
      <c r="A210" s="13">
        <v>23437</v>
      </c>
      <c r="B210" s="3">
        <v>27.883600000000001</v>
      </c>
      <c r="C210" s="24">
        <v>68763</v>
      </c>
      <c r="D210" s="24">
        <v>57898</v>
      </c>
      <c r="E210" s="2">
        <v>5.4</v>
      </c>
      <c r="F210" s="33">
        <v>1.7232000000000001E-2</v>
      </c>
      <c r="G210" s="33">
        <v>1.5167E-2</v>
      </c>
      <c r="H210" s="25">
        <v>4.38</v>
      </c>
      <c r="I210" s="25">
        <v>4.83</v>
      </c>
      <c r="J210" s="25">
        <v>3.43</v>
      </c>
      <c r="K210" s="33"/>
      <c r="L210" s="25">
        <v>3.54</v>
      </c>
      <c r="M210" s="33">
        <v>13.4</v>
      </c>
      <c r="N210" s="9">
        <v>-1.1427</v>
      </c>
      <c r="O210" s="31">
        <v>98.5</v>
      </c>
      <c r="P210" s="38">
        <v>40.324300000000001</v>
      </c>
      <c r="Q210" s="24"/>
      <c r="R210" s="38"/>
      <c r="T210" s="2"/>
      <c r="U210" s="2"/>
      <c r="V210" s="24"/>
      <c r="W210" s="24"/>
      <c r="X210" s="24"/>
      <c r="Y210" s="24"/>
      <c r="Z210" s="24"/>
      <c r="AA210" s="24"/>
      <c r="AB210" s="24"/>
      <c r="AC210" s="25"/>
      <c r="AD210" s="25"/>
      <c r="AE210" s="25"/>
      <c r="AF210" s="25"/>
      <c r="AH210" s="16"/>
      <c r="AI210" s="25"/>
      <c r="AJ210" s="25"/>
      <c r="AL210" s="9"/>
      <c r="AN210" s="9"/>
      <c r="AP210" s="9"/>
      <c r="AQ210" s="9"/>
    </row>
    <row r="211" spans="1:43">
      <c r="A211" s="13">
        <v>23468</v>
      </c>
      <c r="B211" s="3">
        <v>28.3398</v>
      </c>
      <c r="C211" s="24">
        <v>69356</v>
      </c>
      <c r="D211" s="24">
        <v>57923</v>
      </c>
      <c r="E211" s="2">
        <v>5.3</v>
      </c>
      <c r="F211" s="33">
        <v>6.1919999999999996E-3</v>
      </c>
      <c r="G211" s="33">
        <v>6.0769999999999999E-3</v>
      </c>
      <c r="H211" s="25">
        <v>4.4000000000000004</v>
      </c>
      <c r="I211" s="25">
        <v>4.8499999999999996</v>
      </c>
      <c r="J211" s="25">
        <v>3.47</v>
      </c>
      <c r="K211" s="33"/>
      <c r="L211" s="25">
        <v>3.47</v>
      </c>
      <c r="M211" s="33">
        <v>13.4</v>
      </c>
      <c r="N211" s="9">
        <v>-0.28327999999999998</v>
      </c>
      <c r="O211" s="31">
        <v>102</v>
      </c>
      <c r="P211" s="38">
        <v>38.42051</v>
      </c>
      <c r="Q211" s="24"/>
      <c r="R211" s="38"/>
      <c r="T211" s="2"/>
      <c r="U211" s="2"/>
      <c r="V211" s="24"/>
      <c r="W211" s="24"/>
      <c r="X211" s="24"/>
      <c r="Y211" s="24"/>
      <c r="Z211" s="24"/>
      <c r="AA211" s="24"/>
      <c r="AB211" s="24"/>
      <c r="AC211" s="25"/>
      <c r="AD211" s="25"/>
      <c r="AE211" s="25"/>
      <c r="AF211" s="25"/>
      <c r="AH211" s="16"/>
      <c r="AI211" s="25"/>
      <c r="AJ211" s="25"/>
      <c r="AL211" s="9"/>
      <c r="AN211" s="9"/>
      <c r="AP211" s="9"/>
      <c r="AQ211" s="9"/>
    </row>
    <row r="212" spans="1:43">
      <c r="A212" s="13">
        <v>23498</v>
      </c>
      <c r="B212" s="3">
        <v>28.500800000000002</v>
      </c>
      <c r="C212" s="24">
        <v>69631</v>
      </c>
      <c r="D212" s="24">
        <v>58089</v>
      </c>
      <c r="E212" s="2">
        <v>5.0999999999999996</v>
      </c>
      <c r="F212" s="33">
        <v>1.6815E-2</v>
      </c>
      <c r="G212" s="33">
        <v>1.1452E-2</v>
      </c>
      <c r="H212" s="25">
        <v>4.41</v>
      </c>
      <c r="I212" s="25">
        <v>4.8499999999999996</v>
      </c>
      <c r="J212" s="25">
        <v>3.5</v>
      </c>
      <c r="K212" s="33"/>
      <c r="L212" s="25">
        <v>3.48</v>
      </c>
      <c r="M212" s="33">
        <v>13.4</v>
      </c>
      <c r="N212" s="9">
        <v>-1.1262000000000001</v>
      </c>
      <c r="O212" s="31">
        <v>100.5</v>
      </c>
      <c r="P212" s="38">
        <v>38.066859999999998</v>
      </c>
      <c r="Q212" s="24"/>
      <c r="R212" s="38"/>
      <c r="T212" s="2"/>
      <c r="U212" s="2"/>
      <c r="V212" s="24"/>
      <c r="W212" s="24"/>
      <c r="X212" s="24"/>
      <c r="Y212" s="24"/>
      <c r="Z212" s="24"/>
      <c r="AA212" s="24"/>
      <c r="AB212" s="24"/>
      <c r="AC212" s="25"/>
      <c r="AD212" s="25"/>
      <c r="AE212" s="25"/>
      <c r="AF212" s="25"/>
      <c r="AH212" s="16"/>
      <c r="AI212" s="25"/>
      <c r="AJ212" s="25"/>
      <c r="AL212" s="9"/>
      <c r="AN212" s="9"/>
      <c r="AP212" s="9"/>
      <c r="AQ212" s="9"/>
    </row>
    <row r="213" spans="1:43">
      <c r="A213" s="13">
        <v>23529</v>
      </c>
      <c r="B213" s="3">
        <v>28.581299999999999</v>
      </c>
      <c r="C213" s="24">
        <v>69218</v>
      </c>
      <c r="D213" s="24">
        <v>58221</v>
      </c>
      <c r="E213" s="2">
        <v>5.2</v>
      </c>
      <c r="F213" s="33">
        <v>1.8083999999999999E-2</v>
      </c>
      <c r="G213" s="33">
        <v>1.6424000000000001E-2</v>
      </c>
      <c r="H213" s="25">
        <v>4.41</v>
      </c>
      <c r="I213" s="25">
        <v>4.8499999999999996</v>
      </c>
      <c r="J213" s="25">
        <v>3.5</v>
      </c>
      <c r="K213" s="33"/>
      <c r="L213" s="25">
        <v>3.48</v>
      </c>
      <c r="M213" s="33">
        <v>13.4</v>
      </c>
      <c r="N213" s="9">
        <v>-0.20716000000000001</v>
      </c>
      <c r="O213" s="31">
        <v>101</v>
      </c>
      <c r="P213" s="38">
        <v>36.7502</v>
      </c>
      <c r="Q213" s="24"/>
      <c r="R213" s="38"/>
      <c r="T213" s="2"/>
      <c r="U213" s="2"/>
      <c r="V213" s="24"/>
      <c r="W213" s="24"/>
      <c r="X213" s="24"/>
      <c r="Y213" s="24"/>
      <c r="Z213" s="24"/>
      <c r="AA213" s="24"/>
      <c r="AB213" s="24"/>
      <c r="AC213" s="25"/>
      <c r="AD213" s="25"/>
      <c r="AE213" s="25"/>
      <c r="AF213" s="25"/>
      <c r="AH213" s="16"/>
      <c r="AI213" s="25"/>
      <c r="AJ213" s="25"/>
      <c r="AL213" s="9"/>
      <c r="AN213" s="9"/>
      <c r="AP213" s="9"/>
      <c r="AQ213" s="9"/>
    </row>
    <row r="214" spans="1:43">
      <c r="A214" s="13">
        <v>23559</v>
      </c>
      <c r="B214" s="3">
        <v>28.769200000000001</v>
      </c>
      <c r="C214" s="24">
        <v>69399</v>
      </c>
      <c r="D214" s="24">
        <v>58412</v>
      </c>
      <c r="E214" s="2">
        <v>4.9000000000000004</v>
      </c>
      <c r="F214" s="33">
        <v>1.891E-2</v>
      </c>
      <c r="G214" s="33">
        <v>1.8239999999999999E-2</v>
      </c>
      <c r="H214" s="25">
        <v>4.4000000000000004</v>
      </c>
      <c r="I214" s="25">
        <v>4.83</v>
      </c>
      <c r="J214" s="25">
        <v>3.42</v>
      </c>
      <c r="K214" s="33"/>
      <c r="L214" s="25">
        <v>3.46</v>
      </c>
      <c r="M214" s="33">
        <v>13.4</v>
      </c>
      <c r="N214" s="9">
        <v>-0.89881999999999995</v>
      </c>
      <c r="O214" s="31">
        <v>102.1</v>
      </c>
      <c r="P214" s="38">
        <v>41.725470000000001</v>
      </c>
      <c r="Q214" s="24"/>
      <c r="R214" s="38"/>
      <c r="T214" s="2"/>
      <c r="U214" s="2"/>
      <c r="V214" s="24"/>
      <c r="W214" s="24"/>
      <c r="X214" s="24"/>
      <c r="Y214" s="24"/>
      <c r="Z214" s="24"/>
      <c r="AA214" s="24"/>
      <c r="AB214" s="24"/>
      <c r="AC214" s="25"/>
      <c r="AD214" s="25"/>
      <c r="AE214" s="25"/>
      <c r="AF214" s="25"/>
      <c r="AH214" s="16"/>
      <c r="AI214" s="25"/>
      <c r="AJ214" s="25"/>
      <c r="AL214" s="9"/>
      <c r="AN214" s="9"/>
      <c r="AP214" s="9"/>
      <c r="AQ214" s="9"/>
    </row>
    <row r="215" spans="1:43">
      <c r="A215" s="13">
        <v>23590</v>
      </c>
      <c r="B215" s="3">
        <v>28.957000000000001</v>
      </c>
      <c r="C215" s="24">
        <v>69463</v>
      </c>
      <c r="D215" s="24">
        <v>58620</v>
      </c>
      <c r="E215" s="2">
        <v>5</v>
      </c>
      <c r="F215" s="33">
        <v>-1.1620999999999999E-2</v>
      </c>
      <c r="G215" s="33">
        <v>-1.6230000000000001E-2</v>
      </c>
      <c r="H215" s="25">
        <v>4.41</v>
      </c>
      <c r="I215" s="25">
        <v>4.82</v>
      </c>
      <c r="J215" s="25">
        <v>3.5</v>
      </c>
      <c r="K215" s="33"/>
      <c r="L215" s="25">
        <v>3.5</v>
      </c>
      <c r="M215" s="33">
        <v>13.4</v>
      </c>
      <c r="N215" s="9">
        <v>-0.11282</v>
      </c>
      <c r="O215" s="31">
        <v>105.3</v>
      </c>
      <c r="P215" s="38">
        <v>67.400829999999999</v>
      </c>
      <c r="Q215" s="24"/>
      <c r="R215" s="38"/>
      <c r="T215" s="2"/>
      <c r="U215" s="2"/>
      <c r="V215" s="24"/>
      <c r="W215" s="24"/>
      <c r="X215" s="24"/>
      <c r="Y215" s="24"/>
      <c r="Z215" s="24"/>
      <c r="AA215" s="24"/>
      <c r="AB215" s="24"/>
      <c r="AC215" s="25"/>
      <c r="AD215" s="25"/>
      <c r="AE215" s="25"/>
      <c r="AF215" s="25"/>
      <c r="AH215" s="16"/>
      <c r="AI215" s="25"/>
      <c r="AJ215" s="25"/>
      <c r="AL215" s="9"/>
      <c r="AN215" s="9"/>
      <c r="AP215" s="9"/>
      <c r="AQ215" s="9"/>
    </row>
    <row r="216" spans="1:43">
      <c r="A216" s="13">
        <v>23621</v>
      </c>
      <c r="B216" s="3">
        <v>29.064399999999999</v>
      </c>
      <c r="C216" s="24">
        <v>69578</v>
      </c>
      <c r="D216" s="24">
        <v>58903</v>
      </c>
      <c r="E216" s="2">
        <v>5.0999999999999996</v>
      </c>
      <c r="F216" s="33">
        <v>3.0398999999999999E-2</v>
      </c>
      <c r="G216" s="33">
        <v>2.8718E-2</v>
      </c>
      <c r="H216" s="25">
        <v>4.42</v>
      </c>
      <c r="I216" s="25">
        <v>4.82</v>
      </c>
      <c r="J216" s="25">
        <v>3.45</v>
      </c>
      <c r="K216" s="33"/>
      <c r="L216" s="25">
        <v>3.53</v>
      </c>
      <c r="M216" s="33">
        <v>13.4</v>
      </c>
      <c r="N216" s="9">
        <v>-1.1156999999999999</v>
      </c>
      <c r="O216" s="31">
        <v>107.8</v>
      </c>
      <c r="P216" s="38">
        <v>46.543640000000003</v>
      </c>
      <c r="Q216" s="24"/>
      <c r="R216" s="38"/>
      <c r="T216" s="2"/>
      <c r="U216" s="2"/>
      <c r="V216" s="24"/>
      <c r="W216" s="24"/>
      <c r="X216" s="24"/>
      <c r="Y216" s="24"/>
      <c r="Z216" s="24"/>
      <c r="AA216" s="24"/>
      <c r="AB216" s="24"/>
      <c r="AC216" s="25"/>
      <c r="AD216" s="25"/>
      <c r="AE216" s="25"/>
      <c r="AF216" s="25"/>
      <c r="AH216" s="16"/>
      <c r="AI216" s="25"/>
      <c r="AJ216" s="25"/>
      <c r="AL216" s="9"/>
      <c r="AN216" s="9"/>
      <c r="AP216" s="9"/>
      <c r="AQ216" s="9"/>
    </row>
    <row r="217" spans="1:43">
      <c r="A217" s="13">
        <v>23651</v>
      </c>
      <c r="B217" s="3">
        <v>28.661799999999999</v>
      </c>
      <c r="C217" s="24">
        <v>69582</v>
      </c>
      <c r="D217" s="24">
        <v>58794</v>
      </c>
      <c r="E217" s="2">
        <v>5.0999999999999996</v>
      </c>
      <c r="F217" s="33">
        <v>8.7449999999999993E-3</v>
      </c>
      <c r="G217" s="33">
        <v>8.0780000000000001E-3</v>
      </c>
      <c r="H217" s="25">
        <v>4.42</v>
      </c>
      <c r="I217" s="25">
        <v>4.8099999999999996</v>
      </c>
      <c r="J217" s="25">
        <v>3.36</v>
      </c>
      <c r="K217" s="33"/>
      <c r="L217" s="25">
        <v>3.57</v>
      </c>
      <c r="M217" s="33">
        <v>13.4</v>
      </c>
      <c r="N217" s="9">
        <v>-1.0843</v>
      </c>
      <c r="O217" s="31">
        <v>111.6</v>
      </c>
      <c r="P217" s="38">
        <v>44.934100000000001</v>
      </c>
      <c r="Q217" s="24"/>
      <c r="R217" s="38"/>
      <c r="T217" s="2"/>
      <c r="U217" s="2"/>
      <c r="V217" s="24"/>
      <c r="W217" s="24"/>
      <c r="X217" s="24"/>
      <c r="Y217" s="24"/>
      <c r="Z217" s="24"/>
      <c r="AA217" s="24"/>
      <c r="AB217" s="24"/>
      <c r="AC217" s="25"/>
      <c r="AD217" s="25"/>
      <c r="AE217" s="25"/>
      <c r="AF217" s="25"/>
      <c r="AH217" s="16"/>
      <c r="AI217" s="25"/>
      <c r="AJ217" s="25"/>
      <c r="AL217" s="9"/>
      <c r="AN217" s="9"/>
      <c r="AP217" s="9"/>
      <c r="AQ217" s="9"/>
    </row>
    <row r="218" spans="1:43">
      <c r="A218" s="13">
        <v>23682</v>
      </c>
      <c r="B218" s="3">
        <v>29.547499999999999</v>
      </c>
      <c r="C218" s="24">
        <v>69735</v>
      </c>
      <c r="D218" s="24">
        <v>59217</v>
      </c>
      <c r="E218" s="2">
        <v>4.8</v>
      </c>
      <c r="F218" s="33">
        <v>1.598E-3</v>
      </c>
      <c r="G218" s="33">
        <v>-5.1850000000000004E-3</v>
      </c>
      <c r="H218" s="25">
        <v>4.43</v>
      </c>
      <c r="I218" s="25">
        <v>4.8099999999999996</v>
      </c>
      <c r="J218" s="25">
        <v>3.52</v>
      </c>
      <c r="K218" s="33"/>
      <c r="L218" s="25">
        <v>3.64</v>
      </c>
      <c r="M218" s="33">
        <v>13.4</v>
      </c>
      <c r="N218" s="9">
        <v>0.53825999999999996</v>
      </c>
      <c r="O218" s="31">
        <v>112.7</v>
      </c>
      <c r="P218" s="38">
        <v>48.908529999999999</v>
      </c>
      <c r="Q218" s="24"/>
      <c r="R218" s="38"/>
      <c r="T218" s="2"/>
      <c r="U218" s="2"/>
      <c r="V218" s="24"/>
      <c r="W218" s="24"/>
      <c r="X218" s="24"/>
      <c r="Y218" s="24"/>
      <c r="Z218" s="24"/>
      <c r="AA218" s="24"/>
      <c r="AB218" s="24"/>
      <c r="AC218" s="25"/>
      <c r="AD218" s="25"/>
      <c r="AE218" s="25"/>
      <c r="AF218" s="25"/>
      <c r="AH218" s="16"/>
      <c r="AI218" s="25"/>
      <c r="AJ218" s="25"/>
      <c r="AL218" s="9"/>
      <c r="AN218" s="9"/>
      <c r="AP218" s="9"/>
      <c r="AQ218" s="9"/>
    </row>
    <row r="219" spans="1:43">
      <c r="A219" s="13">
        <v>23712</v>
      </c>
      <c r="B219" s="3">
        <v>29.8963</v>
      </c>
      <c r="C219" s="24">
        <v>69814</v>
      </c>
      <c r="D219" s="24">
        <v>59420</v>
      </c>
      <c r="E219" s="2">
        <v>5</v>
      </c>
      <c r="F219" s="33">
        <v>5.228E-3</v>
      </c>
      <c r="G219" s="33">
        <v>3.9090000000000001E-3</v>
      </c>
      <c r="H219" s="25">
        <v>4.4400000000000004</v>
      </c>
      <c r="I219" s="25">
        <v>4.8099999999999996</v>
      </c>
      <c r="J219" s="25">
        <v>3.85</v>
      </c>
      <c r="K219" s="33"/>
      <c r="L219" s="25">
        <v>3.84</v>
      </c>
      <c r="M219" s="33">
        <v>13.4</v>
      </c>
      <c r="N219" s="9">
        <v>1.6373</v>
      </c>
      <c r="O219" s="31">
        <v>112.1</v>
      </c>
      <c r="P219" s="38">
        <v>48.96069</v>
      </c>
      <c r="Q219" s="24"/>
      <c r="R219" s="38"/>
      <c r="T219" s="2"/>
      <c r="U219" s="2"/>
      <c r="V219" s="24"/>
      <c r="W219" s="24"/>
      <c r="X219" s="24"/>
      <c r="Y219" s="24"/>
      <c r="Z219" s="24"/>
      <c r="AA219" s="24"/>
      <c r="AB219" s="24"/>
      <c r="AC219" s="25"/>
      <c r="AD219" s="25"/>
      <c r="AE219" s="25"/>
      <c r="AF219" s="25"/>
      <c r="AH219" s="16"/>
      <c r="AI219" s="25"/>
      <c r="AJ219" s="25"/>
      <c r="AL219" s="9"/>
      <c r="AN219" s="9"/>
      <c r="AP219" s="9"/>
      <c r="AQ219" s="9"/>
    </row>
    <row r="220" spans="1:43">
      <c r="A220" s="13">
        <v>23743</v>
      </c>
      <c r="B220" s="3">
        <v>30.218399999999999</v>
      </c>
      <c r="C220" s="24">
        <v>69997</v>
      </c>
      <c r="D220" s="24">
        <v>59583</v>
      </c>
      <c r="E220" s="2">
        <v>4.9000000000000004</v>
      </c>
      <c r="F220" s="33">
        <v>3.4791000000000002E-2</v>
      </c>
      <c r="G220" s="33">
        <v>3.3155999999999998E-2</v>
      </c>
      <c r="H220" s="25">
        <v>4.43</v>
      </c>
      <c r="I220" s="25">
        <v>4.8</v>
      </c>
      <c r="J220" s="25">
        <v>3.9</v>
      </c>
      <c r="K220" s="33"/>
      <c r="L220" s="25">
        <v>3.81</v>
      </c>
      <c r="M220" s="33">
        <v>13.4</v>
      </c>
      <c r="N220" s="9">
        <v>-0.42952000000000001</v>
      </c>
      <c r="O220" s="31">
        <v>110.2</v>
      </c>
      <c r="P220" s="38">
        <v>61.565710000000003</v>
      </c>
      <c r="Q220" s="24"/>
      <c r="R220" s="38"/>
      <c r="T220" s="2"/>
      <c r="U220" s="2"/>
      <c r="V220" s="24"/>
      <c r="W220" s="24"/>
      <c r="X220" s="24"/>
      <c r="Y220" s="24"/>
      <c r="Z220" s="24"/>
      <c r="AA220" s="24"/>
      <c r="AB220" s="24"/>
      <c r="AC220" s="25"/>
      <c r="AD220" s="25"/>
      <c r="AE220" s="25"/>
      <c r="AF220" s="25"/>
      <c r="AH220" s="16"/>
      <c r="AI220" s="25"/>
      <c r="AJ220" s="25"/>
      <c r="AL220" s="9"/>
      <c r="AN220" s="9"/>
      <c r="AP220" s="9"/>
      <c r="AQ220" s="9"/>
    </row>
    <row r="221" spans="1:43">
      <c r="A221" s="13">
        <v>23774</v>
      </c>
      <c r="B221" s="3">
        <v>30.406300000000002</v>
      </c>
      <c r="C221" s="24">
        <v>70127</v>
      </c>
      <c r="D221" s="24">
        <v>59800</v>
      </c>
      <c r="E221" s="2">
        <v>5.0999999999999996</v>
      </c>
      <c r="F221" s="33">
        <v>3.7460000000000002E-3</v>
      </c>
      <c r="G221" s="33">
        <v>-1.485E-3</v>
      </c>
      <c r="H221" s="25">
        <v>4.41</v>
      </c>
      <c r="I221" s="25">
        <v>4.78</v>
      </c>
      <c r="J221" s="25">
        <v>3.98</v>
      </c>
      <c r="K221" s="33"/>
      <c r="L221" s="25">
        <v>3.93</v>
      </c>
      <c r="M221" s="33">
        <v>13.4</v>
      </c>
      <c r="N221" s="9">
        <v>-0.20263999999999999</v>
      </c>
      <c r="O221" s="31">
        <v>110.3</v>
      </c>
      <c r="P221" s="38">
        <v>44.990079999999999</v>
      </c>
      <c r="Q221" s="24"/>
      <c r="R221" s="38"/>
      <c r="T221" s="2"/>
      <c r="U221" s="2"/>
      <c r="V221" s="24"/>
      <c r="W221" s="24"/>
      <c r="X221" s="24"/>
      <c r="Y221" s="24"/>
      <c r="Z221" s="24"/>
      <c r="AA221" s="24"/>
      <c r="AB221" s="24"/>
      <c r="AC221" s="25"/>
      <c r="AD221" s="25"/>
      <c r="AE221" s="25"/>
      <c r="AF221" s="25"/>
      <c r="AH221" s="16"/>
      <c r="AI221" s="25"/>
      <c r="AJ221" s="25"/>
      <c r="AL221" s="9"/>
      <c r="AN221" s="9"/>
      <c r="AP221" s="9"/>
      <c r="AQ221" s="9"/>
    </row>
    <row r="222" spans="1:43">
      <c r="A222" s="13">
        <v>23802</v>
      </c>
      <c r="B222" s="3">
        <v>30.808800000000002</v>
      </c>
      <c r="C222" s="24">
        <v>70439</v>
      </c>
      <c r="D222" s="24">
        <v>60003</v>
      </c>
      <c r="E222" s="2">
        <v>4.7</v>
      </c>
      <c r="F222" s="33">
        <v>-1.2213E-2</v>
      </c>
      <c r="G222" s="33">
        <v>-1.4526000000000001E-2</v>
      </c>
      <c r="H222" s="25">
        <v>4.42</v>
      </c>
      <c r="I222" s="25">
        <v>4.78</v>
      </c>
      <c r="J222" s="25">
        <v>4.04</v>
      </c>
      <c r="K222" s="33"/>
      <c r="L222" s="25">
        <v>3.93</v>
      </c>
      <c r="M222" s="33">
        <v>13.4</v>
      </c>
      <c r="N222" s="9">
        <v>-0.34037000000000001</v>
      </c>
      <c r="O222" s="31">
        <v>112.7</v>
      </c>
      <c r="P222" s="38">
        <v>47.287410000000001</v>
      </c>
      <c r="Q222" s="24"/>
      <c r="R222" s="38"/>
      <c r="T222" s="2"/>
      <c r="U222" s="2"/>
      <c r="V222" s="24"/>
      <c r="W222" s="24"/>
      <c r="X222" s="24"/>
      <c r="Y222" s="24"/>
      <c r="Z222" s="24"/>
      <c r="AA222" s="24"/>
      <c r="AB222" s="24"/>
      <c r="AC222" s="25"/>
      <c r="AD222" s="25"/>
      <c r="AE222" s="25"/>
      <c r="AF222" s="25"/>
      <c r="AH222" s="16"/>
      <c r="AI222" s="25"/>
      <c r="AJ222" s="25"/>
      <c r="AL222" s="9"/>
      <c r="AN222" s="9"/>
      <c r="AP222" s="9"/>
      <c r="AQ222" s="9"/>
    </row>
    <row r="223" spans="1:43">
      <c r="A223" s="13">
        <v>23833</v>
      </c>
      <c r="B223" s="3">
        <v>30.943000000000001</v>
      </c>
      <c r="C223" s="24">
        <v>70633</v>
      </c>
      <c r="D223" s="24">
        <v>60258</v>
      </c>
      <c r="E223" s="2">
        <v>4.8</v>
      </c>
      <c r="F223" s="33">
        <v>3.5611999999999998E-2</v>
      </c>
      <c r="G223" s="33">
        <v>3.4238999999999999E-2</v>
      </c>
      <c r="H223" s="25">
        <v>4.43</v>
      </c>
      <c r="I223" s="25">
        <v>4.8</v>
      </c>
      <c r="J223" s="25">
        <v>4.09</v>
      </c>
      <c r="K223" s="33"/>
      <c r="L223" s="25">
        <v>3.93</v>
      </c>
      <c r="M223" s="33">
        <v>13.4</v>
      </c>
      <c r="N223" s="9">
        <v>-0.5655</v>
      </c>
      <c r="O223" s="31">
        <v>116.2</v>
      </c>
      <c r="P223" s="38">
        <v>49.515979999999999</v>
      </c>
      <c r="Q223" s="24"/>
      <c r="R223" s="38"/>
      <c r="T223" s="2"/>
      <c r="U223" s="2"/>
      <c r="V223" s="24"/>
      <c r="W223" s="24"/>
      <c r="X223" s="24"/>
      <c r="Y223" s="24"/>
      <c r="Z223" s="24"/>
      <c r="AA223" s="24"/>
      <c r="AB223" s="24"/>
      <c r="AC223" s="25"/>
      <c r="AD223" s="25"/>
      <c r="AE223" s="25"/>
      <c r="AF223" s="25"/>
      <c r="AH223" s="16"/>
      <c r="AI223" s="25"/>
      <c r="AJ223" s="25"/>
      <c r="AL223" s="9"/>
      <c r="AN223" s="9"/>
      <c r="AP223" s="9"/>
      <c r="AQ223" s="9"/>
    </row>
    <row r="224" spans="1:43">
      <c r="A224" s="13">
        <v>23863</v>
      </c>
      <c r="B224" s="3">
        <v>31.1845</v>
      </c>
      <c r="C224" s="24">
        <v>71034</v>
      </c>
      <c r="D224" s="24">
        <v>60492</v>
      </c>
      <c r="E224" s="2">
        <v>4.5999999999999996</v>
      </c>
      <c r="F224" s="33">
        <v>-3.1220000000000002E-3</v>
      </c>
      <c r="G224" s="33">
        <v>-7.7429999999999999E-3</v>
      </c>
      <c r="H224" s="25">
        <v>4.4400000000000004</v>
      </c>
      <c r="I224" s="25">
        <v>4.8099999999999996</v>
      </c>
      <c r="J224" s="25">
        <v>4.0999999999999996</v>
      </c>
      <c r="K224" s="33"/>
      <c r="L224" s="25">
        <v>3.89</v>
      </c>
      <c r="M224" s="33">
        <v>13.4</v>
      </c>
      <c r="N224" s="9">
        <v>-0.42538999999999999</v>
      </c>
      <c r="O224" s="31">
        <v>116.4</v>
      </c>
      <c r="P224" s="38">
        <v>44.206040000000002</v>
      </c>
      <c r="Q224" s="24"/>
      <c r="R224" s="38"/>
      <c r="T224" s="2"/>
      <c r="U224" s="2"/>
      <c r="V224" s="24"/>
      <c r="W224" s="24"/>
      <c r="X224" s="24"/>
      <c r="Y224" s="24"/>
      <c r="Z224" s="24"/>
      <c r="AA224" s="24"/>
      <c r="AB224" s="24"/>
      <c r="AC224" s="25"/>
      <c r="AD224" s="25"/>
      <c r="AE224" s="25"/>
      <c r="AF224" s="25"/>
      <c r="AH224" s="16"/>
      <c r="AI224" s="25"/>
      <c r="AJ224" s="25"/>
      <c r="AL224" s="9"/>
      <c r="AN224" s="9"/>
      <c r="AP224" s="9"/>
      <c r="AQ224" s="9"/>
    </row>
    <row r="225" spans="1:43">
      <c r="A225" s="13">
        <v>23894</v>
      </c>
      <c r="B225" s="3">
        <v>31.425999999999998</v>
      </c>
      <c r="C225" s="24">
        <v>71025</v>
      </c>
      <c r="D225" s="24">
        <v>60690</v>
      </c>
      <c r="E225" s="2">
        <v>4.5999999999999996</v>
      </c>
      <c r="F225" s="33">
        <v>-4.6879999999999998E-2</v>
      </c>
      <c r="G225" s="33">
        <v>-4.8632000000000002E-2</v>
      </c>
      <c r="H225" s="25">
        <v>4.46</v>
      </c>
      <c r="I225" s="25">
        <v>4.8499999999999996</v>
      </c>
      <c r="J225" s="25">
        <v>4.04</v>
      </c>
      <c r="K225" s="33"/>
      <c r="L225" s="25">
        <v>3.8</v>
      </c>
      <c r="M225" s="33">
        <v>13.4</v>
      </c>
      <c r="N225" s="9">
        <v>-1.6228</v>
      </c>
      <c r="O225" s="31">
        <v>114.8</v>
      </c>
      <c r="P225" s="38">
        <v>42.084710000000001</v>
      </c>
      <c r="Q225" s="24"/>
      <c r="R225" s="38"/>
      <c r="T225" s="2"/>
      <c r="U225" s="2"/>
      <c r="V225" s="24"/>
      <c r="W225" s="24"/>
      <c r="X225" s="24"/>
      <c r="Y225" s="24"/>
      <c r="Z225" s="24"/>
      <c r="AA225" s="24"/>
      <c r="AB225" s="24"/>
      <c r="AC225" s="25"/>
      <c r="AD225" s="25"/>
      <c r="AE225" s="25"/>
      <c r="AF225" s="25"/>
      <c r="AH225" s="16"/>
      <c r="AI225" s="25"/>
      <c r="AJ225" s="25"/>
      <c r="AL225" s="9"/>
      <c r="AN225" s="9"/>
      <c r="AP225" s="9"/>
      <c r="AQ225" s="9"/>
    </row>
    <row r="226" spans="1:43">
      <c r="A226" s="13">
        <v>23924</v>
      </c>
      <c r="B226" s="3">
        <v>31.7212</v>
      </c>
      <c r="C226" s="24">
        <v>71460</v>
      </c>
      <c r="D226" s="24">
        <v>60963</v>
      </c>
      <c r="E226" s="2">
        <v>4.4000000000000004</v>
      </c>
      <c r="F226" s="33">
        <v>1.4486000000000001E-2</v>
      </c>
      <c r="G226" s="33">
        <v>1.3433E-2</v>
      </c>
      <c r="H226" s="25">
        <v>4.4800000000000004</v>
      </c>
      <c r="I226" s="25">
        <v>4.88</v>
      </c>
      <c r="J226" s="25">
        <v>4.09</v>
      </c>
      <c r="K226" s="33"/>
      <c r="L226" s="25">
        <v>3.84</v>
      </c>
      <c r="M226" s="33">
        <v>13.4</v>
      </c>
      <c r="N226" s="9">
        <v>0.10836</v>
      </c>
      <c r="O226" s="31">
        <v>114.1</v>
      </c>
      <c r="P226" s="38">
        <v>34.569600000000001</v>
      </c>
      <c r="Q226" s="24"/>
      <c r="R226" s="38"/>
      <c r="T226" s="2"/>
      <c r="U226" s="2"/>
      <c r="V226" s="24"/>
      <c r="W226" s="24"/>
      <c r="X226" s="24"/>
      <c r="Y226" s="24"/>
      <c r="Z226" s="24"/>
      <c r="AA226" s="24"/>
      <c r="AB226" s="24"/>
      <c r="AC226" s="25"/>
      <c r="AD226" s="25"/>
      <c r="AE226" s="25"/>
      <c r="AF226" s="25"/>
      <c r="AH226" s="16"/>
      <c r="AI226" s="25"/>
      <c r="AJ226" s="25"/>
      <c r="AL226" s="9"/>
      <c r="AN226" s="9"/>
      <c r="AP226" s="9"/>
      <c r="AQ226" s="9"/>
    </row>
    <row r="227" spans="1:43">
      <c r="A227" s="13">
        <v>23955</v>
      </c>
      <c r="B227" s="3">
        <v>31.855399999999999</v>
      </c>
      <c r="C227" s="24">
        <v>71362</v>
      </c>
      <c r="D227" s="24">
        <v>61228</v>
      </c>
      <c r="E227" s="2">
        <v>4.4000000000000004</v>
      </c>
      <c r="F227" s="33">
        <v>2.7560000000000001E-2</v>
      </c>
      <c r="G227" s="33">
        <v>2.2522E-2</v>
      </c>
      <c r="H227" s="25">
        <v>4.49</v>
      </c>
      <c r="I227" s="25">
        <v>4.88</v>
      </c>
      <c r="J227" s="25">
        <v>4.12</v>
      </c>
      <c r="K227" s="33"/>
      <c r="L227" s="25">
        <v>3.84</v>
      </c>
      <c r="M227" s="33">
        <v>13.4</v>
      </c>
      <c r="N227" s="9">
        <v>-0.37853999999999999</v>
      </c>
      <c r="O227" s="31">
        <v>114.7</v>
      </c>
      <c r="P227" s="38">
        <v>41.9572</v>
      </c>
      <c r="Q227" s="24"/>
      <c r="R227" s="38"/>
      <c r="T227" s="2"/>
      <c r="U227" s="2"/>
      <c r="V227" s="24"/>
      <c r="W227" s="24"/>
      <c r="X227" s="24"/>
      <c r="Y227" s="24"/>
      <c r="Z227" s="24"/>
      <c r="AA227" s="24"/>
      <c r="AB227" s="24"/>
      <c r="AC227" s="25"/>
      <c r="AD227" s="25"/>
      <c r="AE227" s="25"/>
      <c r="AF227" s="25"/>
      <c r="AH227" s="16"/>
      <c r="AI227" s="25"/>
      <c r="AJ227" s="25"/>
      <c r="AL227" s="9"/>
      <c r="AN227" s="9"/>
      <c r="AP227" s="9"/>
      <c r="AQ227" s="9"/>
    </row>
    <row r="228" spans="1:43">
      <c r="A228" s="13">
        <v>23986</v>
      </c>
      <c r="B228" s="3">
        <v>31.936</v>
      </c>
      <c r="C228" s="24">
        <v>71286</v>
      </c>
      <c r="D228" s="24">
        <v>61490</v>
      </c>
      <c r="E228" s="2">
        <v>4.3</v>
      </c>
      <c r="F228" s="33">
        <v>3.3366E-2</v>
      </c>
      <c r="G228" s="33">
        <v>3.2006E-2</v>
      </c>
      <c r="H228" s="25">
        <v>4.5199999999999996</v>
      </c>
      <c r="I228" s="25">
        <v>4.91</v>
      </c>
      <c r="J228" s="25">
        <v>4.01</v>
      </c>
      <c r="K228" s="33"/>
      <c r="L228" s="25">
        <v>3.92</v>
      </c>
      <c r="M228" s="33">
        <v>13.4</v>
      </c>
      <c r="N228" s="9">
        <v>-1.4395</v>
      </c>
      <c r="O228" s="31">
        <v>114.3</v>
      </c>
      <c r="P228" s="38">
        <v>44.624569999999999</v>
      </c>
      <c r="Q228" s="24"/>
      <c r="R228" s="38"/>
      <c r="T228" s="2"/>
      <c r="U228" s="2"/>
      <c r="V228" s="24"/>
      <c r="W228" s="24"/>
      <c r="X228" s="24"/>
      <c r="Y228" s="24"/>
      <c r="Z228" s="24"/>
      <c r="AA228" s="24"/>
      <c r="AB228" s="24"/>
      <c r="AC228" s="25"/>
      <c r="AD228" s="25"/>
      <c r="AE228" s="25"/>
      <c r="AF228" s="25"/>
      <c r="AH228" s="16"/>
      <c r="AI228" s="25"/>
      <c r="AJ228" s="25"/>
      <c r="AL228" s="9"/>
      <c r="AN228" s="9"/>
      <c r="AP228" s="9"/>
      <c r="AQ228" s="9"/>
    </row>
    <row r="229" spans="1:43">
      <c r="A229" s="13">
        <v>24016</v>
      </c>
      <c r="B229" s="3">
        <v>32.258000000000003</v>
      </c>
      <c r="C229" s="24">
        <v>71695</v>
      </c>
      <c r="D229" s="24">
        <v>61718</v>
      </c>
      <c r="E229" s="2">
        <v>4.2</v>
      </c>
      <c r="F229" s="33">
        <v>2.8812000000000001E-2</v>
      </c>
      <c r="G229" s="33">
        <v>2.7345000000000001E-2</v>
      </c>
      <c r="H229" s="25">
        <v>4.5599999999999996</v>
      </c>
      <c r="I229" s="25">
        <v>4.93</v>
      </c>
      <c r="J229" s="25">
        <v>4.08</v>
      </c>
      <c r="K229" s="33"/>
      <c r="L229" s="25">
        <v>4.03</v>
      </c>
      <c r="M229" s="33">
        <v>13.4</v>
      </c>
      <c r="N229" s="9">
        <v>-3.8635999999999997E-2</v>
      </c>
      <c r="O229" s="31">
        <v>114.5</v>
      </c>
      <c r="P229" s="38">
        <v>37.402479999999997</v>
      </c>
      <c r="Q229" s="24"/>
      <c r="R229" s="38"/>
      <c r="T229" s="2"/>
      <c r="U229" s="2"/>
      <c r="V229" s="24"/>
      <c r="W229" s="24"/>
      <c r="X229" s="24"/>
      <c r="Y229" s="24"/>
      <c r="Z229" s="24"/>
      <c r="AA229" s="24"/>
      <c r="AB229" s="24"/>
      <c r="AC229" s="25"/>
      <c r="AD229" s="25"/>
      <c r="AE229" s="25"/>
      <c r="AF229" s="25"/>
      <c r="AH229" s="16"/>
      <c r="AI229" s="25"/>
      <c r="AJ229" s="25"/>
      <c r="AL229" s="9"/>
      <c r="AN229" s="9"/>
      <c r="AP229" s="9"/>
      <c r="AQ229" s="9"/>
    </row>
    <row r="230" spans="1:43">
      <c r="A230" s="13">
        <v>24047</v>
      </c>
      <c r="B230" s="3">
        <v>32.392200000000003</v>
      </c>
      <c r="C230" s="24">
        <v>71724</v>
      </c>
      <c r="D230" s="24">
        <v>61997</v>
      </c>
      <c r="E230" s="2">
        <v>4.0999999999999996</v>
      </c>
      <c r="F230" s="33">
        <v>-3.8210000000000002E-3</v>
      </c>
      <c r="G230" s="33">
        <v>-8.7639999999999992E-3</v>
      </c>
      <c r="H230" s="25">
        <v>4.5999999999999996</v>
      </c>
      <c r="I230" s="25">
        <v>4.95</v>
      </c>
      <c r="J230" s="25">
        <v>4.0999999999999996</v>
      </c>
      <c r="K230" s="33"/>
      <c r="L230" s="25">
        <v>4.09</v>
      </c>
      <c r="M230" s="33">
        <v>13.4</v>
      </c>
      <c r="N230" s="9">
        <v>-0.55488999999999999</v>
      </c>
      <c r="O230" s="31">
        <v>115</v>
      </c>
      <c r="P230" s="38">
        <v>37.653939999999999</v>
      </c>
      <c r="Q230" s="24"/>
      <c r="R230" s="38"/>
      <c r="T230" s="2"/>
      <c r="U230" s="2"/>
      <c r="V230" s="24"/>
      <c r="W230" s="24"/>
      <c r="X230" s="24"/>
      <c r="Y230" s="24"/>
      <c r="Z230" s="24"/>
      <c r="AA230" s="24"/>
      <c r="AB230" s="24"/>
      <c r="AC230" s="25"/>
      <c r="AD230" s="25"/>
      <c r="AE230" s="25"/>
      <c r="AF230" s="25"/>
      <c r="AH230" s="16"/>
      <c r="AI230" s="25"/>
      <c r="AJ230" s="25"/>
      <c r="AL230" s="9"/>
      <c r="AN230" s="9"/>
      <c r="AP230" s="9"/>
      <c r="AQ230" s="9"/>
    </row>
    <row r="231" spans="1:43">
      <c r="A231" s="13">
        <v>24077</v>
      </c>
      <c r="B231" s="3">
        <v>32.794699999999999</v>
      </c>
      <c r="C231" s="24">
        <v>72062</v>
      </c>
      <c r="D231" s="24">
        <v>62321</v>
      </c>
      <c r="E231" s="2">
        <v>4</v>
      </c>
      <c r="F231" s="33">
        <v>1.0349000000000001E-2</v>
      </c>
      <c r="G231" s="33">
        <v>8.9510000000000006E-3</v>
      </c>
      <c r="H231" s="25">
        <v>4.68</v>
      </c>
      <c r="I231" s="25">
        <v>5.0199999999999996</v>
      </c>
      <c r="J231" s="25">
        <v>4.32</v>
      </c>
      <c r="K231" s="33"/>
      <c r="L231" s="25">
        <v>4.38</v>
      </c>
      <c r="M231" s="33">
        <v>13.4</v>
      </c>
      <c r="N231" s="9">
        <v>0.38046000000000002</v>
      </c>
      <c r="O231" s="31">
        <v>116.6</v>
      </c>
      <c r="P231" s="38">
        <v>66.693370000000002</v>
      </c>
      <c r="Q231" s="24"/>
      <c r="R231" s="38"/>
      <c r="T231" s="2"/>
      <c r="U231" s="2"/>
      <c r="V231" s="24"/>
      <c r="W231" s="24"/>
      <c r="X231" s="24"/>
      <c r="Y231" s="24"/>
      <c r="Z231" s="24"/>
      <c r="AA231" s="24"/>
      <c r="AB231" s="24"/>
      <c r="AC231" s="25"/>
      <c r="AD231" s="25"/>
      <c r="AE231" s="25"/>
      <c r="AF231" s="25"/>
      <c r="AH231" s="16"/>
      <c r="AI231" s="25"/>
      <c r="AJ231" s="25"/>
      <c r="AL231" s="9"/>
      <c r="AN231" s="9"/>
      <c r="AP231" s="9"/>
      <c r="AQ231" s="9"/>
    </row>
    <row r="232" spans="1:43">
      <c r="A232" s="13">
        <v>24108</v>
      </c>
      <c r="B232" s="3">
        <v>33.116799999999998</v>
      </c>
      <c r="C232" s="24">
        <v>72198</v>
      </c>
      <c r="D232" s="24">
        <v>62528</v>
      </c>
      <c r="E232" s="2">
        <v>4</v>
      </c>
      <c r="F232" s="33">
        <v>5.705E-3</v>
      </c>
      <c r="G232" s="33">
        <v>4.8690000000000001E-3</v>
      </c>
      <c r="H232" s="25">
        <v>4.74</v>
      </c>
      <c r="I232" s="25">
        <v>5.0599999999999996</v>
      </c>
      <c r="J232" s="25">
        <v>4.42</v>
      </c>
      <c r="K232" s="33"/>
      <c r="L232" s="25">
        <v>4.59</v>
      </c>
      <c r="M232" s="33">
        <v>13.4</v>
      </c>
      <c r="N232" s="9">
        <v>-0.70904</v>
      </c>
      <c r="O232" s="31">
        <v>120</v>
      </c>
      <c r="P232" s="38">
        <v>74.171239999999997</v>
      </c>
      <c r="Q232" s="24"/>
      <c r="R232" s="38"/>
      <c r="T232" s="2"/>
      <c r="U232" s="2"/>
      <c r="V232" s="24"/>
      <c r="W232" s="24"/>
      <c r="X232" s="24"/>
      <c r="Y232" s="24"/>
      <c r="Z232" s="24"/>
      <c r="AA232" s="24"/>
      <c r="AB232" s="24"/>
      <c r="AC232" s="25"/>
      <c r="AD232" s="25"/>
      <c r="AE232" s="25"/>
      <c r="AF232" s="25"/>
      <c r="AH232" s="16"/>
      <c r="AI232" s="25"/>
      <c r="AJ232" s="25"/>
      <c r="AL232" s="9"/>
      <c r="AN232" s="9"/>
      <c r="AP232" s="9"/>
      <c r="AQ232" s="9"/>
    </row>
    <row r="233" spans="1:43">
      <c r="A233" s="13">
        <v>24139</v>
      </c>
      <c r="B233" s="3">
        <v>33.331499999999998</v>
      </c>
      <c r="C233" s="24">
        <v>72134</v>
      </c>
      <c r="D233" s="24">
        <v>62796</v>
      </c>
      <c r="E233" s="2">
        <v>3.8</v>
      </c>
      <c r="F233" s="33">
        <v>-1.2749999999999999E-2</v>
      </c>
      <c r="G233" s="33">
        <v>-1.7873E-2</v>
      </c>
      <c r="H233" s="25">
        <v>4.78</v>
      </c>
      <c r="I233" s="25">
        <v>5.12</v>
      </c>
      <c r="J233" s="25">
        <v>4.5999999999999996</v>
      </c>
      <c r="K233" s="33"/>
      <c r="L233" s="25">
        <v>4.6500000000000004</v>
      </c>
      <c r="M233" s="33">
        <v>13.4</v>
      </c>
      <c r="N233" s="9">
        <v>-0.40379999999999999</v>
      </c>
      <c r="O233" s="31">
        <v>122.4</v>
      </c>
      <c r="P233" s="38">
        <v>52.818260000000002</v>
      </c>
      <c r="Q233" s="24"/>
      <c r="R233" s="38"/>
      <c r="T233" s="2"/>
      <c r="U233" s="2"/>
      <c r="V233" s="24"/>
      <c r="W233" s="24"/>
      <c r="X233" s="24"/>
      <c r="Y233" s="24"/>
      <c r="Z233" s="24"/>
      <c r="AA233" s="24"/>
      <c r="AB233" s="24"/>
      <c r="AC233" s="25"/>
      <c r="AD233" s="25"/>
      <c r="AE233" s="25"/>
      <c r="AF233" s="25"/>
      <c r="AH233" s="16"/>
      <c r="AI233" s="25"/>
      <c r="AJ233" s="25"/>
      <c r="AL233" s="9"/>
      <c r="AN233" s="9"/>
      <c r="AP233" s="9"/>
      <c r="AQ233" s="9"/>
    </row>
    <row r="234" spans="1:43">
      <c r="A234" s="13">
        <v>24167</v>
      </c>
      <c r="B234" s="3">
        <v>33.787700000000001</v>
      </c>
      <c r="C234" s="24">
        <v>72188</v>
      </c>
      <c r="D234" s="24">
        <v>63191</v>
      </c>
      <c r="E234" s="2">
        <v>3.8</v>
      </c>
      <c r="F234" s="33">
        <v>-2.3040999999999999E-2</v>
      </c>
      <c r="G234" s="33">
        <v>-2.1815000000000001E-2</v>
      </c>
      <c r="H234" s="25">
        <v>4.92</v>
      </c>
      <c r="I234" s="25">
        <v>5.32</v>
      </c>
      <c r="J234" s="25">
        <v>4.6500000000000004</v>
      </c>
      <c r="K234" s="33"/>
      <c r="L234" s="25">
        <v>4.59</v>
      </c>
      <c r="M234" s="33">
        <v>13.4</v>
      </c>
      <c r="N234" s="9">
        <v>-1.8258000000000001</v>
      </c>
      <c r="O234" s="31">
        <v>123</v>
      </c>
      <c r="P234" s="38">
        <v>104.8032</v>
      </c>
      <c r="Q234" s="24"/>
      <c r="R234" s="38"/>
      <c r="T234" s="2"/>
      <c r="U234" s="2"/>
      <c r="V234" s="24"/>
      <c r="W234" s="24"/>
      <c r="X234" s="24"/>
      <c r="Y234" s="24"/>
      <c r="Z234" s="24"/>
      <c r="AA234" s="24"/>
      <c r="AB234" s="24"/>
      <c r="AC234" s="25"/>
      <c r="AD234" s="25"/>
      <c r="AE234" s="25"/>
      <c r="AF234" s="25"/>
      <c r="AH234" s="16"/>
      <c r="AI234" s="25"/>
      <c r="AJ234" s="25"/>
      <c r="AL234" s="9"/>
      <c r="AN234" s="9"/>
      <c r="AP234" s="9"/>
      <c r="AQ234" s="9"/>
    </row>
    <row r="235" spans="1:43">
      <c r="A235" s="13">
        <v>24198</v>
      </c>
      <c r="B235" s="3">
        <v>33.8414</v>
      </c>
      <c r="C235" s="24">
        <v>72510</v>
      </c>
      <c r="D235" s="24">
        <v>63436</v>
      </c>
      <c r="E235" s="2">
        <v>3.8</v>
      </c>
      <c r="F235" s="33">
        <v>2.2158000000000001E-2</v>
      </c>
      <c r="G235" s="33">
        <v>2.0508999999999999E-2</v>
      </c>
      <c r="H235" s="25">
        <v>4.96</v>
      </c>
      <c r="I235" s="25">
        <v>5.41</v>
      </c>
      <c r="J235" s="25">
        <v>4.67</v>
      </c>
      <c r="K235" s="33"/>
      <c r="L235" s="25">
        <v>4.62</v>
      </c>
      <c r="M235" s="33">
        <v>13.4</v>
      </c>
      <c r="N235" s="9">
        <v>-1.5076000000000001</v>
      </c>
      <c r="O235" s="31">
        <v>121</v>
      </c>
      <c r="P235" s="38">
        <v>39.172159999999998</v>
      </c>
      <c r="Q235" s="24"/>
      <c r="R235" s="38"/>
      <c r="T235" s="2"/>
      <c r="U235" s="2"/>
      <c r="V235" s="24"/>
      <c r="W235" s="24"/>
      <c r="X235" s="24"/>
      <c r="Y235" s="24"/>
      <c r="Z235" s="24"/>
      <c r="AA235" s="24"/>
      <c r="AB235" s="24"/>
      <c r="AC235" s="25"/>
      <c r="AD235" s="25"/>
      <c r="AE235" s="25"/>
      <c r="AF235" s="25"/>
      <c r="AH235" s="16"/>
      <c r="AI235" s="25"/>
      <c r="AJ235" s="25"/>
      <c r="AL235" s="9"/>
      <c r="AN235" s="9"/>
      <c r="AP235" s="9"/>
      <c r="AQ235" s="9"/>
    </row>
    <row r="236" spans="1:43">
      <c r="A236" s="13">
        <v>24228</v>
      </c>
      <c r="B236" s="3">
        <v>34.163400000000003</v>
      </c>
      <c r="C236" s="24">
        <v>72497</v>
      </c>
      <c r="D236" s="24">
        <v>63711</v>
      </c>
      <c r="E236" s="2">
        <v>3.9</v>
      </c>
      <c r="F236" s="33">
        <v>-4.9140000000000003E-2</v>
      </c>
      <c r="G236" s="33">
        <v>-5.4140000000000001E-2</v>
      </c>
      <c r="H236" s="25">
        <v>4.9800000000000004</v>
      </c>
      <c r="I236" s="25">
        <v>5.48</v>
      </c>
      <c r="J236" s="25">
        <v>4.9000000000000004</v>
      </c>
      <c r="K236" s="33"/>
      <c r="L236" s="25">
        <v>4.6399999999999997</v>
      </c>
      <c r="M236" s="33">
        <v>13.4</v>
      </c>
      <c r="N236" s="9">
        <v>1.2148000000000001</v>
      </c>
      <c r="O236" s="31">
        <v>117.8</v>
      </c>
      <c r="P236" s="38">
        <v>79.922309999999996</v>
      </c>
      <c r="Q236" s="24"/>
      <c r="R236" s="38"/>
      <c r="T236" s="2"/>
      <c r="U236" s="2"/>
      <c r="V236" s="24"/>
      <c r="W236" s="24"/>
      <c r="X236" s="24"/>
      <c r="Y236" s="24"/>
      <c r="Z236" s="24"/>
      <c r="AA236" s="24"/>
      <c r="AB236" s="24"/>
      <c r="AC236" s="25"/>
      <c r="AD236" s="25"/>
      <c r="AE236" s="25"/>
      <c r="AF236" s="25"/>
      <c r="AH236" s="16"/>
      <c r="AI236" s="25"/>
      <c r="AJ236" s="25"/>
      <c r="AL236" s="9"/>
      <c r="AN236" s="9"/>
      <c r="AP236" s="9"/>
      <c r="AQ236" s="9"/>
    </row>
    <row r="237" spans="1:43">
      <c r="A237" s="13">
        <v>24259</v>
      </c>
      <c r="B237" s="3">
        <v>34.324399999999997</v>
      </c>
      <c r="C237" s="24">
        <v>72775</v>
      </c>
      <c r="D237" s="24">
        <v>64110</v>
      </c>
      <c r="E237" s="2">
        <v>3.8</v>
      </c>
      <c r="F237" s="33">
        <v>-1.438E-2</v>
      </c>
      <c r="G237" s="33">
        <v>-1.6138E-2</v>
      </c>
      <c r="H237" s="25">
        <v>5.07</v>
      </c>
      <c r="I237" s="25">
        <v>5.58</v>
      </c>
      <c r="J237" s="25">
        <v>5.17</v>
      </c>
      <c r="K237" s="33"/>
      <c r="L237" s="25">
        <v>4.5</v>
      </c>
      <c r="M237" s="33">
        <v>13.5</v>
      </c>
      <c r="N237" s="9">
        <v>1.1049</v>
      </c>
      <c r="O237" s="31">
        <v>117.9</v>
      </c>
      <c r="P237" s="38">
        <v>45.552250000000001</v>
      </c>
      <c r="Q237" s="24"/>
      <c r="R237" s="38"/>
      <c r="T237" s="2"/>
      <c r="U237" s="2"/>
      <c r="V237" s="24"/>
      <c r="W237" s="24"/>
      <c r="X237" s="24"/>
      <c r="Y237" s="24"/>
      <c r="Z237" s="24"/>
      <c r="AA237" s="24"/>
      <c r="AB237" s="24"/>
      <c r="AC237" s="25"/>
      <c r="AD237" s="25"/>
      <c r="AE237" s="25"/>
      <c r="AF237" s="25"/>
      <c r="AH237" s="16"/>
      <c r="AI237" s="25"/>
      <c r="AJ237" s="25"/>
      <c r="AL237" s="9"/>
      <c r="AN237" s="9"/>
      <c r="AP237" s="9"/>
      <c r="AQ237" s="9"/>
    </row>
    <row r="238" spans="1:43">
      <c r="A238" s="13">
        <v>24289</v>
      </c>
      <c r="B238" s="3">
        <v>34.512300000000003</v>
      </c>
      <c r="C238" s="24">
        <v>72860</v>
      </c>
      <c r="D238" s="24">
        <v>64301</v>
      </c>
      <c r="E238" s="2">
        <v>3.8</v>
      </c>
      <c r="F238" s="33">
        <v>-1.2128999999999999E-2</v>
      </c>
      <c r="G238" s="33">
        <v>-1.3453E-2</v>
      </c>
      <c r="H238" s="25">
        <v>5.16</v>
      </c>
      <c r="I238" s="25">
        <v>5.68</v>
      </c>
      <c r="J238" s="25">
        <v>5.3</v>
      </c>
      <c r="K238" s="33"/>
      <c r="L238" s="25">
        <v>4.8</v>
      </c>
      <c r="M238" s="33">
        <v>13.5</v>
      </c>
      <c r="N238" s="9">
        <v>1.5273000000000001</v>
      </c>
      <c r="O238" s="31">
        <v>118.3</v>
      </c>
      <c r="P238" s="38">
        <v>46.130859999999998</v>
      </c>
      <c r="Q238" s="24"/>
      <c r="R238" s="38"/>
      <c r="T238" s="2"/>
      <c r="U238" s="2"/>
      <c r="V238" s="24"/>
      <c r="W238" s="24"/>
      <c r="X238" s="24"/>
      <c r="Y238" s="24"/>
      <c r="Z238" s="24"/>
      <c r="AA238" s="24"/>
      <c r="AB238" s="24"/>
      <c r="AC238" s="25"/>
      <c r="AD238" s="25"/>
      <c r="AE238" s="25"/>
      <c r="AF238" s="25"/>
      <c r="AH238" s="16"/>
      <c r="AI238" s="25"/>
      <c r="AJ238" s="25"/>
      <c r="AL238" s="9"/>
      <c r="AN238" s="9"/>
      <c r="AP238" s="9"/>
      <c r="AQ238" s="9"/>
    </row>
    <row r="239" spans="1:43">
      <c r="A239" s="13">
        <v>24320</v>
      </c>
      <c r="B239" s="3">
        <v>34.539099999999998</v>
      </c>
      <c r="C239" s="24">
        <v>73146</v>
      </c>
      <c r="D239" s="24">
        <v>64507</v>
      </c>
      <c r="E239" s="2">
        <v>3.8</v>
      </c>
      <c r="F239" s="33">
        <v>-7.1650000000000005E-2</v>
      </c>
      <c r="G239" s="33">
        <v>-7.7751000000000001E-2</v>
      </c>
      <c r="H239" s="25">
        <v>5.31</v>
      </c>
      <c r="I239" s="25">
        <v>5.83</v>
      </c>
      <c r="J239" s="25">
        <v>5.53</v>
      </c>
      <c r="K239" s="33"/>
      <c r="L239" s="25">
        <v>4.96</v>
      </c>
      <c r="M239" s="33">
        <v>13.5</v>
      </c>
      <c r="N239" s="9">
        <v>0.78415000000000001</v>
      </c>
      <c r="O239" s="31">
        <v>111.3</v>
      </c>
      <c r="P239" s="38">
        <v>58.462429999999998</v>
      </c>
      <c r="Q239" s="24"/>
      <c r="R239" s="38"/>
      <c r="T239" s="2"/>
      <c r="U239" s="2"/>
      <c r="V239" s="24"/>
      <c r="W239" s="24"/>
      <c r="X239" s="24"/>
      <c r="Y239" s="24"/>
      <c r="Z239" s="24"/>
      <c r="AA239" s="24"/>
      <c r="AB239" s="24"/>
      <c r="AC239" s="25"/>
      <c r="AD239" s="25"/>
      <c r="AE239" s="25"/>
      <c r="AF239" s="25"/>
      <c r="AH239" s="16"/>
      <c r="AI239" s="25"/>
      <c r="AJ239" s="25"/>
      <c r="AL239" s="9"/>
      <c r="AN239" s="9"/>
      <c r="AP239" s="9"/>
      <c r="AQ239" s="9"/>
    </row>
    <row r="240" spans="1:43">
      <c r="A240" s="13">
        <v>24351</v>
      </c>
      <c r="B240" s="3">
        <v>34.861199999999997</v>
      </c>
      <c r="C240" s="24">
        <v>73258</v>
      </c>
      <c r="D240" s="24">
        <v>64645</v>
      </c>
      <c r="E240" s="2">
        <v>3.7</v>
      </c>
      <c r="F240" s="33">
        <v>-6.2440000000000004E-3</v>
      </c>
      <c r="G240" s="33">
        <v>-7.0039999999999998E-3</v>
      </c>
      <c r="H240" s="25">
        <v>5.49</v>
      </c>
      <c r="I240" s="25">
        <v>6.09</v>
      </c>
      <c r="J240" s="25">
        <v>5.4</v>
      </c>
      <c r="K240" s="33"/>
      <c r="L240" s="25">
        <v>5.37</v>
      </c>
      <c r="M240" s="33">
        <v>13.5</v>
      </c>
      <c r="N240" s="9">
        <v>-0.40264</v>
      </c>
      <c r="O240" s="31">
        <v>108.5</v>
      </c>
      <c r="P240" s="38">
        <v>59.340800000000002</v>
      </c>
      <c r="Q240" s="24"/>
      <c r="R240" s="38"/>
      <c r="T240" s="2"/>
      <c r="U240" s="2"/>
      <c r="V240" s="24"/>
      <c r="W240" s="24"/>
      <c r="X240" s="24"/>
      <c r="Y240" s="24"/>
      <c r="Z240" s="24"/>
      <c r="AA240" s="24"/>
      <c r="AB240" s="24"/>
      <c r="AC240" s="25"/>
      <c r="AD240" s="25"/>
      <c r="AE240" s="25"/>
      <c r="AF240" s="25"/>
      <c r="AH240" s="16"/>
      <c r="AI240" s="25"/>
      <c r="AJ240" s="25"/>
      <c r="AL240" s="9"/>
      <c r="AN240" s="9"/>
      <c r="AP240" s="9"/>
      <c r="AQ240" s="9"/>
    </row>
    <row r="241" spans="1:45">
      <c r="A241" s="13">
        <v>24381</v>
      </c>
      <c r="B241" s="3">
        <v>35.102699999999999</v>
      </c>
      <c r="C241" s="24">
        <v>73401</v>
      </c>
      <c r="D241" s="24">
        <v>64854</v>
      </c>
      <c r="E241" s="2">
        <v>3.7</v>
      </c>
      <c r="F241" s="33">
        <v>4.8333000000000001E-2</v>
      </c>
      <c r="G241" s="33">
        <v>4.7544000000000003E-2</v>
      </c>
      <c r="H241" s="25">
        <v>5.41</v>
      </c>
      <c r="I241" s="25">
        <v>6.1</v>
      </c>
      <c r="J241" s="25">
        <v>5.53</v>
      </c>
      <c r="K241" s="33"/>
      <c r="L241" s="25">
        <v>5.35</v>
      </c>
      <c r="M241" s="33">
        <v>13.6</v>
      </c>
      <c r="N241" s="9">
        <v>2.3191999999999999</v>
      </c>
      <c r="O241" s="31">
        <v>105.9</v>
      </c>
      <c r="P241" s="38">
        <v>57.027940000000001</v>
      </c>
      <c r="Q241" s="24"/>
      <c r="R241" s="38"/>
      <c r="T241" s="2"/>
      <c r="U241" s="2"/>
      <c r="V241" s="24"/>
      <c r="W241" s="24"/>
      <c r="X241" s="24"/>
      <c r="Y241" s="24"/>
      <c r="Z241" s="24"/>
      <c r="AA241" s="24"/>
      <c r="AB241" s="24"/>
      <c r="AC241" s="25"/>
      <c r="AD241" s="25"/>
      <c r="AE241" s="25"/>
      <c r="AF241" s="25"/>
      <c r="AH241" s="16"/>
      <c r="AI241" s="25"/>
      <c r="AJ241" s="25"/>
      <c r="AL241" s="9"/>
      <c r="AN241" s="9"/>
      <c r="AP241" s="9"/>
      <c r="AQ241" s="9"/>
    </row>
    <row r="242" spans="1:45">
      <c r="A242" s="13">
        <v>24412</v>
      </c>
      <c r="B242" s="3">
        <v>34.861199999999997</v>
      </c>
      <c r="C242" s="24">
        <v>73840</v>
      </c>
      <c r="D242" s="24">
        <v>65019</v>
      </c>
      <c r="E242" s="2">
        <v>3.6</v>
      </c>
      <c r="F242" s="33">
        <v>1.1223E-2</v>
      </c>
      <c r="G242" s="33">
        <v>3.117E-3</v>
      </c>
      <c r="H242" s="25">
        <v>5.35</v>
      </c>
      <c r="I242" s="25">
        <v>6.13</v>
      </c>
      <c r="J242" s="25">
        <v>5.76</v>
      </c>
      <c r="K242" s="33"/>
      <c r="L242" s="25">
        <v>5.32</v>
      </c>
      <c r="M242" s="33">
        <v>13.6</v>
      </c>
      <c r="N242" s="9">
        <v>1.4463999999999999</v>
      </c>
      <c r="O242" s="31">
        <v>105.5</v>
      </c>
      <c r="P242" s="38">
        <v>46.209949999999999</v>
      </c>
      <c r="Q242" s="24"/>
      <c r="R242" s="38"/>
      <c r="T242" s="2"/>
      <c r="U242" s="2"/>
      <c r="V242" s="24"/>
      <c r="W242" s="24"/>
      <c r="X242" s="24"/>
      <c r="Y242" s="24"/>
      <c r="Z242" s="24"/>
      <c r="AA242" s="24"/>
      <c r="AB242" s="24"/>
      <c r="AC242" s="25"/>
      <c r="AD242" s="25"/>
      <c r="AE242" s="25"/>
      <c r="AF242" s="25"/>
      <c r="AH242" s="16"/>
      <c r="AI242" s="25"/>
      <c r="AJ242" s="25"/>
      <c r="AL242" s="9"/>
      <c r="AN242" s="9"/>
      <c r="AP242" s="9"/>
      <c r="AQ242" s="9"/>
    </row>
    <row r="243" spans="1:45">
      <c r="A243" s="13">
        <v>24442</v>
      </c>
      <c r="B243" s="3">
        <v>34.941699999999997</v>
      </c>
      <c r="C243" s="24">
        <v>73729</v>
      </c>
      <c r="D243" s="24">
        <v>65199</v>
      </c>
      <c r="E243" s="2">
        <v>3.8</v>
      </c>
      <c r="F243" s="33">
        <v>3.2600000000000001E-4</v>
      </c>
      <c r="G243" s="33">
        <v>-1.4920000000000001E-3</v>
      </c>
      <c r="H243" s="25">
        <v>5.39</v>
      </c>
      <c r="I243" s="25">
        <v>6.18</v>
      </c>
      <c r="J243" s="25">
        <v>5.4</v>
      </c>
      <c r="K243" s="33"/>
      <c r="L243" s="25">
        <v>4.96</v>
      </c>
      <c r="M243" s="33">
        <v>13.6</v>
      </c>
      <c r="N243" s="9">
        <v>-2.4786999999999999</v>
      </c>
      <c r="O243" s="31">
        <v>105.4</v>
      </c>
      <c r="P243" s="38">
        <v>81.242559999999997</v>
      </c>
      <c r="Q243" s="24"/>
      <c r="R243" s="38"/>
      <c r="T243" s="2"/>
      <c r="U243" s="2"/>
      <c r="V243" s="24"/>
      <c r="W243" s="24"/>
      <c r="X243" s="24"/>
      <c r="Y243" s="24"/>
      <c r="Z243" s="24"/>
      <c r="AA243" s="24"/>
      <c r="AB243" s="24"/>
      <c r="AC243" s="25"/>
      <c r="AD243" s="25"/>
      <c r="AE243" s="25"/>
      <c r="AF243" s="25"/>
      <c r="AH243" s="16"/>
      <c r="AI243" s="25"/>
      <c r="AJ243" s="25"/>
      <c r="AL243" s="9"/>
      <c r="AN243" s="9"/>
      <c r="AP243" s="9"/>
      <c r="AQ243" s="9"/>
    </row>
    <row r="244" spans="1:45">
      <c r="A244" s="13">
        <v>24473</v>
      </c>
      <c r="B244" s="3">
        <v>35.106499999999997</v>
      </c>
      <c r="C244" s="24">
        <v>73671</v>
      </c>
      <c r="D244" s="24">
        <v>65407</v>
      </c>
      <c r="E244" s="2">
        <v>3.9</v>
      </c>
      <c r="F244" s="33">
        <v>7.9214999999999994E-2</v>
      </c>
      <c r="G244" s="33">
        <v>7.8177999999999997E-2</v>
      </c>
      <c r="H244" s="25">
        <v>5.2</v>
      </c>
      <c r="I244" s="25">
        <v>5.97</v>
      </c>
      <c r="J244" s="25">
        <v>4.9400000000000004</v>
      </c>
      <c r="K244" s="33"/>
      <c r="L244" s="25">
        <v>4.72</v>
      </c>
      <c r="M244" s="33">
        <v>13.6</v>
      </c>
      <c r="N244" s="9">
        <v>-2.0192999999999999</v>
      </c>
      <c r="O244" s="31">
        <v>106.4</v>
      </c>
      <c r="P244" s="38">
        <v>103.1772</v>
      </c>
      <c r="Q244" s="24"/>
      <c r="R244" s="38"/>
      <c r="T244" s="2"/>
      <c r="U244" s="2"/>
      <c r="V244" s="24"/>
      <c r="W244" s="24"/>
      <c r="X244" s="24"/>
      <c r="Y244" s="24"/>
      <c r="Z244" s="24"/>
      <c r="AA244" s="24"/>
      <c r="AB244" s="24"/>
      <c r="AC244" s="25"/>
      <c r="AD244" s="25"/>
      <c r="AE244" s="25"/>
      <c r="AF244" s="25"/>
      <c r="AH244" s="16"/>
      <c r="AI244" s="25"/>
      <c r="AJ244" s="25"/>
      <c r="AL244" s="9"/>
      <c r="AN244" s="9"/>
      <c r="AP244" s="9"/>
      <c r="AQ244" s="9"/>
    </row>
    <row r="245" spans="1:45">
      <c r="A245" s="13">
        <v>24504</v>
      </c>
      <c r="B245" s="3">
        <v>34.708300000000001</v>
      </c>
      <c r="C245" s="24">
        <v>73606</v>
      </c>
      <c r="D245" s="24">
        <v>65427</v>
      </c>
      <c r="E245" s="2">
        <v>3.8</v>
      </c>
      <c r="F245" s="33">
        <v>7.5139999999999998E-3</v>
      </c>
      <c r="G245" s="33">
        <v>1.9629999999999999E-3</v>
      </c>
      <c r="H245" s="25">
        <v>5.03</v>
      </c>
      <c r="I245" s="25">
        <v>5.82</v>
      </c>
      <c r="J245" s="25">
        <v>5</v>
      </c>
      <c r="K245" s="33"/>
      <c r="L245" s="25">
        <v>4.5599999999999996</v>
      </c>
      <c r="M245" s="33">
        <v>13.6</v>
      </c>
      <c r="N245" s="9">
        <v>0.56449000000000005</v>
      </c>
      <c r="O245" s="31">
        <v>104.8</v>
      </c>
      <c r="P245" s="38">
        <v>62.255510000000001</v>
      </c>
      <c r="Q245" s="24"/>
      <c r="R245" s="38"/>
      <c r="T245" s="2"/>
      <c r="U245" s="2"/>
      <c r="V245" s="24"/>
      <c r="W245" s="24"/>
      <c r="X245" s="24"/>
      <c r="Y245" s="24"/>
      <c r="Z245" s="24"/>
      <c r="AA245" s="24"/>
      <c r="AB245" s="24"/>
      <c r="AC245" s="25"/>
      <c r="AD245" s="25"/>
      <c r="AE245" s="25"/>
      <c r="AF245" s="25"/>
      <c r="AH245" s="16"/>
      <c r="AI245" s="25"/>
      <c r="AJ245" s="25"/>
      <c r="AL245" s="9"/>
      <c r="AN245" s="9"/>
      <c r="AP245" s="9"/>
      <c r="AQ245" s="9"/>
      <c r="AS245" s="31"/>
    </row>
    <row r="246" spans="1:45">
      <c r="A246" s="13">
        <v>24532</v>
      </c>
      <c r="B246" s="3">
        <v>34.512700000000002</v>
      </c>
      <c r="C246" s="24">
        <v>73439</v>
      </c>
      <c r="D246" s="24">
        <v>65530</v>
      </c>
      <c r="E246" s="2">
        <v>3.8</v>
      </c>
      <c r="F246" s="33">
        <v>4.1137E-2</v>
      </c>
      <c r="G246" s="33">
        <v>3.9410000000000001E-2</v>
      </c>
      <c r="H246" s="25">
        <v>5.13</v>
      </c>
      <c r="I246" s="25">
        <v>5.85</v>
      </c>
      <c r="J246" s="25">
        <v>4.53</v>
      </c>
      <c r="K246" s="33"/>
      <c r="L246" s="25">
        <v>4.26</v>
      </c>
      <c r="M246" s="33">
        <v>13.6</v>
      </c>
      <c r="N246" s="9">
        <v>-2.5449000000000002</v>
      </c>
      <c r="O246" s="31">
        <v>102.1</v>
      </c>
      <c r="P246" s="38">
        <v>62.70749</v>
      </c>
      <c r="Q246" s="24"/>
      <c r="R246" s="38"/>
      <c r="T246" s="2"/>
      <c r="U246" s="2"/>
      <c r="V246" s="24"/>
      <c r="W246" s="24"/>
      <c r="X246" s="24"/>
      <c r="Y246" s="24"/>
      <c r="Z246" s="24"/>
      <c r="AA246" s="24"/>
      <c r="AB246" s="24"/>
      <c r="AC246" s="25"/>
      <c r="AD246" s="25"/>
      <c r="AE246" s="25"/>
      <c r="AF246" s="25"/>
      <c r="AH246" s="16"/>
      <c r="AI246" s="25"/>
      <c r="AJ246" s="25"/>
      <c r="AL246" s="9"/>
      <c r="AN246" s="9"/>
      <c r="AP246" s="9"/>
      <c r="AQ246" s="9"/>
      <c r="AS246" s="9"/>
    </row>
    <row r="247" spans="1:45">
      <c r="A247" s="13">
        <v>24563</v>
      </c>
      <c r="B247" s="3">
        <v>34.838200000000001</v>
      </c>
      <c r="C247" s="24">
        <v>73882</v>
      </c>
      <c r="D247" s="24">
        <v>65467</v>
      </c>
      <c r="E247" s="2">
        <v>3.8</v>
      </c>
      <c r="F247" s="33">
        <v>4.3371E-2</v>
      </c>
      <c r="G247" s="33">
        <v>4.2238999999999999E-2</v>
      </c>
      <c r="H247" s="25">
        <v>5.1100000000000003</v>
      </c>
      <c r="I247" s="25">
        <v>5.83</v>
      </c>
      <c r="J247" s="25">
        <v>4.05</v>
      </c>
      <c r="K247" s="33"/>
      <c r="L247" s="25">
        <v>3.84</v>
      </c>
      <c r="M247" s="33">
        <v>13.6</v>
      </c>
      <c r="N247" s="9">
        <v>-1.3508</v>
      </c>
      <c r="O247" s="31">
        <v>99.7</v>
      </c>
      <c r="P247" s="38">
        <v>34.608699999999999</v>
      </c>
      <c r="Q247" s="24"/>
      <c r="R247" s="38"/>
      <c r="T247" s="2"/>
      <c r="U247" s="2"/>
      <c r="V247" s="24"/>
      <c r="W247" s="24"/>
      <c r="X247" s="24"/>
      <c r="Y247" s="24"/>
      <c r="Z247" s="24"/>
      <c r="AA247" s="24"/>
      <c r="AB247" s="24"/>
      <c r="AC247" s="25"/>
      <c r="AD247" s="25"/>
      <c r="AE247" s="25"/>
      <c r="AF247" s="25"/>
      <c r="AH247" s="16"/>
      <c r="AI247" s="25"/>
      <c r="AJ247" s="25"/>
      <c r="AL247" s="9"/>
      <c r="AN247" s="9"/>
      <c r="AP247" s="9"/>
      <c r="AQ247" s="9"/>
      <c r="AS247" s="31"/>
    </row>
    <row r="248" spans="1:45">
      <c r="A248" s="13">
        <v>24593</v>
      </c>
      <c r="B248" s="3">
        <v>34.534300000000002</v>
      </c>
      <c r="C248" s="24">
        <v>73844</v>
      </c>
      <c r="D248" s="24">
        <v>65618</v>
      </c>
      <c r="E248" s="2">
        <v>3.8</v>
      </c>
      <c r="F248" s="33">
        <v>-4.6809999999999997E-2</v>
      </c>
      <c r="G248" s="33">
        <v>-5.2441000000000002E-2</v>
      </c>
      <c r="H248" s="25">
        <v>5.24</v>
      </c>
      <c r="I248" s="25">
        <v>5.96</v>
      </c>
      <c r="J248" s="25">
        <v>3.94</v>
      </c>
      <c r="K248" s="33"/>
      <c r="L248" s="25">
        <v>3.6</v>
      </c>
      <c r="M248" s="33">
        <v>13.6</v>
      </c>
      <c r="N248" s="9">
        <v>-0.30721999999999999</v>
      </c>
      <c r="O248" s="31">
        <v>99.2</v>
      </c>
      <c r="P248" s="38">
        <v>54.960850000000001</v>
      </c>
      <c r="Q248" s="24"/>
      <c r="R248" s="38"/>
      <c r="T248" s="2"/>
      <c r="U248" s="2"/>
      <c r="V248" s="24"/>
      <c r="W248" s="24"/>
      <c r="X248" s="24"/>
      <c r="Y248" s="24"/>
      <c r="Z248" s="24"/>
      <c r="AA248" s="24"/>
      <c r="AB248" s="24"/>
      <c r="AC248" s="25"/>
      <c r="AD248" s="25"/>
      <c r="AE248" s="25"/>
      <c r="AF248" s="25"/>
      <c r="AH248" s="16"/>
      <c r="AI248" s="25"/>
      <c r="AJ248" s="25"/>
      <c r="AL248" s="9"/>
      <c r="AN248" s="9"/>
      <c r="AP248" s="9"/>
      <c r="AQ248" s="9"/>
      <c r="AS248" s="9"/>
    </row>
    <row r="249" spans="1:45">
      <c r="A249" s="13">
        <v>24624</v>
      </c>
      <c r="B249" s="3">
        <v>34.529899999999998</v>
      </c>
      <c r="C249" s="24">
        <v>74278</v>
      </c>
      <c r="D249" s="24">
        <v>65750</v>
      </c>
      <c r="E249" s="2">
        <v>3.9</v>
      </c>
      <c r="F249" s="33">
        <v>1.9318999999999999E-2</v>
      </c>
      <c r="G249" s="33">
        <v>1.7512E-2</v>
      </c>
      <c r="H249" s="25">
        <v>5.44</v>
      </c>
      <c r="I249" s="25">
        <v>6.15</v>
      </c>
      <c r="J249" s="25">
        <v>3.98</v>
      </c>
      <c r="K249" s="33"/>
      <c r="L249" s="25">
        <v>3.54</v>
      </c>
      <c r="M249" s="33">
        <v>13.6</v>
      </c>
      <c r="N249" s="9">
        <v>1.2647999999999999</v>
      </c>
      <c r="O249" s="31">
        <v>99.4</v>
      </c>
      <c r="P249" s="38">
        <v>65.353499999999997</v>
      </c>
      <c r="Q249" s="24"/>
      <c r="R249" s="38"/>
      <c r="T249" s="2"/>
      <c r="U249" s="2"/>
      <c r="V249" s="24"/>
      <c r="W249" s="24"/>
      <c r="X249" s="24"/>
      <c r="Y249" s="24"/>
      <c r="Z249" s="24"/>
      <c r="AA249" s="24"/>
      <c r="AB249" s="24"/>
      <c r="AC249" s="25"/>
      <c r="AD249" s="25"/>
      <c r="AE249" s="25"/>
      <c r="AF249" s="25"/>
      <c r="AH249" s="16"/>
      <c r="AI249" s="25"/>
      <c r="AJ249" s="25"/>
      <c r="AL249" s="9"/>
      <c r="AN249" s="9"/>
      <c r="AP249" s="9"/>
      <c r="AQ249" s="9"/>
      <c r="AS249" s="31"/>
    </row>
    <row r="250" spans="1:45">
      <c r="A250" s="13">
        <v>24654</v>
      </c>
      <c r="B250" s="3">
        <v>34.451300000000003</v>
      </c>
      <c r="C250" s="24">
        <v>74520</v>
      </c>
      <c r="D250" s="24">
        <v>65887</v>
      </c>
      <c r="E250" s="2">
        <v>3.8</v>
      </c>
      <c r="F250" s="33">
        <v>4.6454000000000002E-2</v>
      </c>
      <c r="G250" s="33">
        <v>4.5344000000000002E-2</v>
      </c>
      <c r="H250" s="25">
        <v>5.58</v>
      </c>
      <c r="I250" s="25">
        <v>6.26</v>
      </c>
      <c r="J250" s="25">
        <v>3.79</v>
      </c>
      <c r="K250" s="33"/>
      <c r="L250" s="25">
        <v>4.21</v>
      </c>
      <c r="M250" s="33">
        <v>13.6</v>
      </c>
      <c r="N250" s="9">
        <v>-0.80345999999999995</v>
      </c>
      <c r="O250" s="31">
        <v>97.9</v>
      </c>
      <c r="P250" s="38">
        <v>36.550870000000003</v>
      </c>
      <c r="Q250" s="24"/>
      <c r="R250" s="38"/>
      <c r="T250" s="2"/>
      <c r="U250" s="2"/>
      <c r="V250" s="24"/>
      <c r="W250" s="24"/>
      <c r="X250" s="24"/>
      <c r="Y250" s="24"/>
      <c r="Z250" s="24"/>
      <c r="AA250" s="24"/>
      <c r="AB250" s="24"/>
      <c r="AC250" s="25"/>
      <c r="AD250" s="25"/>
      <c r="AE250" s="25"/>
      <c r="AF250" s="25"/>
      <c r="AH250" s="16"/>
      <c r="AI250" s="25"/>
      <c r="AJ250" s="25"/>
      <c r="AL250" s="9"/>
      <c r="AN250" s="9"/>
      <c r="AP250" s="9"/>
      <c r="AQ250" s="9"/>
      <c r="AS250" s="9"/>
    </row>
    <row r="251" spans="1:45">
      <c r="A251" s="13">
        <v>24685</v>
      </c>
      <c r="B251" s="3">
        <v>35.111400000000003</v>
      </c>
      <c r="C251" s="24">
        <v>74767</v>
      </c>
      <c r="D251" s="24">
        <v>66142</v>
      </c>
      <c r="E251" s="2">
        <v>3.8</v>
      </c>
      <c r="F251" s="33">
        <v>-6.8240000000000002E-3</v>
      </c>
      <c r="G251" s="33">
        <v>-1.1715E-2</v>
      </c>
      <c r="H251" s="25">
        <v>5.62</v>
      </c>
      <c r="I251" s="25">
        <v>6.33</v>
      </c>
      <c r="J251" s="25">
        <v>3.9</v>
      </c>
      <c r="K251" s="33"/>
      <c r="L251" s="25">
        <v>4.2699999999999996</v>
      </c>
      <c r="M251" s="33">
        <v>13.7</v>
      </c>
      <c r="N251" s="9">
        <v>0.65952</v>
      </c>
      <c r="O251" s="31">
        <v>97.7</v>
      </c>
      <c r="P251" s="38">
        <v>56.725560000000002</v>
      </c>
      <c r="Q251" s="24"/>
      <c r="R251" s="38"/>
      <c r="T251" s="2"/>
      <c r="U251" s="2"/>
      <c r="V251" s="24"/>
      <c r="W251" s="24"/>
      <c r="X251" s="24"/>
      <c r="Y251" s="24"/>
      <c r="Z251" s="24"/>
      <c r="AA251" s="24"/>
      <c r="AB251" s="24"/>
      <c r="AC251" s="25"/>
      <c r="AD251" s="25"/>
      <c r="AE251" s="25"/>
      <c r="AF251" s="25"/>
      <c r="AH251" s="16"/>
      <c r="AI251" s="25"/>
      <c r="AJ251" s="25"/>
      <c r="AL251" s="9"/>
      <c r="AN251" s="9"/>
      <c r="AP251" s="9"/>
      <c r="AQ251" s="9"/>
      <c r="AS251" s="31"/>
    </row>
    <row r="252" spans="1:45">
      <c r="A252" s="13">
        <v>24716</v>
      </c>
      <c r="B252" s="3">
        <v>35.054299999999998</v>
      </c>
      <c r="C252" s="24">
        <v>74854</v>
      </c>
      <c r="D252" s="24">
        <v>66163</v>
      </c>
      <c r="E252" s="2">
        <v>3.8</v>
      </c>
      <c r="F252" s="33">
        <v>3.3814999999999998E-2</v>
      </c>
      <c r="G252" s="33">
        <v>3.2785000000000002E-2</v>
      </c>
      <c r="H252" s="25">
        <v>5.65</v>
      </c>
      <c r="I252" s="25">
        <v>6.4</v>
      </c>
      <c r="J252" s="25">
        <v>3.99</v>
      </c>
      <c r="K252" s="33"/>
      <c r="L252" s="25">
        <v>4.42</v>
      </c>
      <c r="M252" s="33">
        <v>13.7</v>
      </c>
      <c r="N252" s="9">
        <v>0.27062999999999998</v>
      </c>
      <c r="O252" s="31">
        <v>97.4</v>
      </c>
      <c r="P252" s="38">
        <v>50.579569999999997</v>
      </c>
      <c r="Q252" s="24"/>
      <c r="R252" s="38"/>
      <c r="T252" s="2"/>
      <c r="U252" s="2"/>
      <c r="V252" s="24"/>
      <c r="W252" s="24"/>
      <c r="X252" s="24"/>
      <c r="Y252" s="24"/>
      <c r="Z252" s="24"/>
      <c r="AA252" s="24"/>
      <c r="AB252" s="24"/>
      <c r="AC252" s="25"/>
      <c r="AD252" s="25"/>
      <c r="AE252" s="25"/>
      <c r="AF252" s="25"/>
      <c r="AH252" s="16"/>
      <c r="AI252" s="25"/>
      <c r="AJ252" s="25"/>
      <c r="AL252" s="9"/>
      <c r="AN252" s="9"/>
      <c r="AP252" s="9"/>
      <c r="AQ252" s="9"/>
      <c r="AS252" s="9"/>
    </row>
    <row r="253" spans="1:45">
      <c r="A253" s="13">
        <v>24746</v>
      </c>
      <c r="B253" s="3">
        <v>35.339799999999997</v>
      </c>
      <c r="C253" s="24">
        <v>75051</v>
      </c>
      <c r="D253" s="24">
        <v>66225</v>
      </c>
      <c r="E253" s="2">
        <v>4</v>
      </c>
      <c r="F253" s="33">
        <v>-2.7448E-2</v>
      </c>
      <c r="G253" s="33">
        <v>-2.9055999999999998E-2</v>
      </c>
      <c r="H253" s="25">
        <v>5.82</v>
      </c>
      <c r="I253" s="25">
        <v>6.52</v>
      </c>
      <c r="J253" s="25">
        <v>3.88</v>
      </c>
      <c r="K253" s="33"/>
      <c r="L253" s="25">
        <v>4.5599999999999996</v>
      </c>
      <c r="M253" s="33">
        <v>13.7</v>
      </c>
      <c r="N253" s="9">
        <v>-1.3816999999999999</v>
      </c>
      <c r="O253" s="31">
        <v>97.3</v>
      </c>
      <c r="P253" s="38">
        <v>75.145849999999996</v>
      </c>
      <c r="Q253" s="24"/>
      <c r="R253" s="38"/>
      <c r="T253" s="2"/>
      <c r="U253" s="2"/>
      <c r="V253" s="24"/>
      <c r="W253" s="24"/>
      <c r="X253" s="24"/>
      <c r="Y253" s="24"/>
      <c r="Z253" s="24"/>
      <c r="AA253" s="24"/>
      <c r="AB253" s="24"/>
      <c r="AC253" s="25"/>
      <c r="AD253" s="25"/>
      <c r="AE253" s="25"/>
      <c r="AF253" s="25"/>
      <c r="AH253" s="16"/>
      <c r="AI253" s="25"/>
      <c r="AJ253" s="25"/>
      <c r="AL253" s="9"/>
      <c r="AN253" s="9"/>
      <c r="AP253" s="9"/>
      <c r="AQ253" s="9"/>
      <c r="AS253" s="31"/>
    </row>
    <row r="254" spans="1:45">
      <c r="A254" s="13">
        <v>24777</v>
      </c>
      <c r="B254" s="3">
        <v>35.845199999999998</v>
      </c>
      <c r="C254" s="24">
        <v>75125</v>
      </c>
      <c r="D254" s="24">
        <v>66703</v>
      </c>
      <c r="E254" s="2">
        <v>3.9</v>
      </c>
      <c r="F254" s="33">
        <v>6.4349999999999997E-3</v>
      </c>
      <c r="G254" s="33">
        <v>1.065E-3</v>
      </c>
      <c r="H254" s="25">
        <v>6.07</v>
      </c>
      <c r="I254" s="25">
        <v>6.72</v>
      </c>
      <c r="J254" s="25">
        <v>4.13</v>
      </c>
      <c r="K254" s="33"/>
      <c r="L254" s="25">
        <v>4.7300000000000004</v>
      </c>
      <c r="M254" s="33">
        <v>13.7</v>
      </c>
      <c r="N254" s="9">
        <v>1.3353999999999999</v>
      </c>
      <c r="O254" s="31">
        <v>98.7</v>
      </c>
      <c r="P254" s="38">
        <v>96.173280000000005</v>
      </c>
      <c r="Q254" s="24"/>
      <c r="R254" s="38"/>
      <c r="T254" s="2"/>
      <c r="U254" s="2"/>
      <c r="V254" s="24"/>
      <c r="W254" s="24"/>
      <c r="X254" s="24"/>
      <c r="Y254" s="24"/>
      <c r="Z254" s="24"/>
      <c r="AA254" s="24"/>
      <c r="AB254" s="24"/>
      <c r="AC254" s="25"/>
      <c r="AD254" s="25"/>
      <c r="AE254" s="25"/>
      <c r="AF254" s="25"/>
      <c r="AH254" s="16"/>
      <c r="AI254" s="25"/>
      <c r="AJ254" s="25"/>
      <c r="AL254" s="9"/>
      <c r="AN254" s="9"/>
      <c r="AP254" s="9"/>
      <c r="AQ254" s="9"/>
      <c r="AS254" s="9"/>
    </row>
    <row r="255" spans="1:45">
      <c r="A255" s="13">
        <v>24807</v>
      </c>
      <c r="B255" s="3">
        <v>36.231299999999997</v>
      </c>
      <c r="C255" s="24">
        <v>75473</v>
      </c>
      <c r="D255" s="24">
        <v>66900</v>
      </c>
      <c r="E255" s="2">
        <v>3.8</v>
      </c>
      <c r="F255" s="33">
        <v>2.7078999999999999E-2</v>
      </c>
      <c r="G255" s="33">
        <v>2.6276999999999998E-2</v>
      </c>
      <c r="H255" s="25">
        <v>6.19</v>
      </c>
      <c r="I255" s="25">
        <v>6.93</v>
      </c>
      <c r="J255" s="25">
        <v>4.51</v>
      </c>
      <c r="K255" s="33"/>
      <c r="L255" s="25">
        <v>4.97</v>
      </c>
      <c r="M255" s="33">
        <v>13.7</v>
      </c>
      <c r="N255" s="9">
        <v>1.5344</v>
      </c>
      <c r="O255" s="31">
        <v>99.7</v>
      </c>
      <c r="P255" s="38">
        <v>77.138760000000005</v>
      </c>
      <c r="Q255" s="24"/>
      <c r="R255" s="38"/>
      <c r="T255" s="2"/>
      <c r="U255" s="2"/>
      <c r="V255" s="24"/>
      <c r="W255" s="24"/>
      <c r="X255" s="24"/>
      <c r="Y255" s="24"/>
      <c r="Z255" s="24"/>
      <c r="AA255" s="24"/>
      <c r="AB255" s="24"/>
      <c r="AC255" s="25"/>
      <c r="AD255" s="25"/>
      <c r="AE255" s="25"/>
      <c r="AF255" s="25"/>
      <c r="AH255" s="16"/>
      <c r="AI255" s="25"/>
      <c r="AJ255" s="25"/>
      <c r="AL255" s="9"/>
      <c r="AN255" s="9"/>
      <c r="AP255" s="9"/>
      <c r="AQ255" s="9"/>
      <c r="AS255" s="31"/>
    </row>
    <row r="256" spans="1:45">
      <c r="A256" s="13">
        <v>24838</v>
      </c>
      <c r="B256" s="3">
        <v>36.192300000000003</v>
      </c>
      <c r="C256" s="24">
        <v>74700</v>
      </c>
      <c r="D256" s="24">
        <v>66805</v>
      </c>
      <c r="E256" s="2">
        <v>3.7</v>
      </c>
      <c r="F256" s="33">
        <v>-4.1875000000000002E-2</v>
      </c>
      <c r="G256" s="33">
        <v>-4.3847999999999998E-2</v>
      </c>
      <c r="H256" s="25">
        <v>6.17</v>
      </c>
      <c r="I256" s="25">
        <v>6.84</v>
      </c>
      <c r="J256" s="25">
        <v>4.5999999999999996</v>
      </c>
      <c r="K256" s="33"/>
      <c r="L256" s="25">
        <v>5</v>
      </c>
      <c r="M256" s="33">
        <v>13.7</v>
      </c>
      <c r="N256" s="9">
        <v>-0.17294000000000001</v>
      </c>
      <c r="O256" s="31">
        <v>99.4</v>
      </c>
      <c r="P256" s="38">
        <v>113.8214</v>
      </c>
      <c r="Q256" s="24"/>
      <c r="R256" s="38"/>
      <c r="T256" s="2"/>
      <c r="U256" s="2"/>
      <c r="V256" s="24"/>
      <c r="W256" s="24"/>
      <c r="X256" s="24"/>
      <c r="Y256" s="24"/>
      <c r="Z256" s="24"/>
      <c r="AA256" s="24"/>
      <c r="AB256" s="24"/>
      <c r="AC256" s="25"/>
      <c r="AD256" s="25"/>
      <c r="AE256" s="25"/>
      <c r="AF256" s="25"/>
      <c r="AH256" s="16"/>
      <c r="AI256" s="25"/>
      <c r="AJ256" s="25"/>
      <c r="AL256" s="9"/>
      <c r="AN256" s="9"/>
      <c r="AP256" s="9"/>
      <c r="AQ256" s="9"/>
      <c r="AS256" s="9"/>
    </row>
    <row r="257" spans="1:45">
      <c r="A257" s="13">
        <v>24869</v>
      </c>
      <c r="B257" s="3">
        <v>36.322000000000003</v>
      </c>
      <c r="C257" s="24">
        <v>75229</v>
      </c>
      <c r="D257" s="24">
        <v>67214</v>
      </c>
      <c r="E257" s="2">
        <v>3.8</v>
      </c>
      <c r="F257" s="33">
        <v>-2.69E-2</v>
      </c>
      <c r="G257" s="33">
        <v>-3.1223000000000001E-2</v>
      </c>
      <c r="H257" s="25">
        <v>6.1</v>
      </c>
      <c r="I257" s="25">
        <v>6.8</v>
      </c>
      <c r="J257" s="25">
        <v>4.71</v>
      </c>
      <c r="K257" s="33"/>
      <c r="L257" s="25">
        <v>4.9800000000000004</v>
      </c>
      <c r="M257" s="33">
        <v>13.7</v>
      </c>
      <c r="N257" s="9">
        <v>-0.82164999999999999</v>
      </c>
      <c r="O257" s="31">
        <v>99.1</v>
      </c>
      <c r="P257" s="38">
        <v>75.58766</v>
      </c>
      <c r="Q257" s="24"/>
      <c r="R257" s="38"/>
      <c r="T257" s="2"/>
      <c r="U257" s="2"/>
      <c r="V257" s="24"/>
      <c r="W257" s="24"/>
      <c r="X257" s="24"/>
      <c r="Y257" s="24"/>
      <c r="Z257" s="24"/>
      <c r="AA257" s="24"/>
      <c r="AB257" s="24"/>
      <c r="AC257" s="25"/>
      <c r="AD257" s="25"/>
      <c r="AE257" s="25"/>
      <c r="AF257" s="25"/>
      <c r="AH257" s="16"/>
      <c r="AI257" s="25"/>
      <c r="AJ257" s="25"/>
      <c r="AL257" s="9"/>
      <c r="AN257" s="9"/>
      <c r="AP257" s="9"/>
      <c r="AQ257" s="9"/>
      <c r="AS257" s="31"/>
    </row>
    <row r="258" spans="1:45">
      <c r="A258" s="13">
        <v>24898</v>
      </c>
      <c r="B258" s="3">
        <v>36.435400000000001</v>
      </c>
      <c r="C258" s="24">
        <v>75379</v>
      </c>
      <c r="D258" s="24">
        <v>67296</v>
      </c>
      <c r="E258" s="2">
        <v>3.7</v>
      </c>
      <c r="F258" s="33">
        <v>9.6959999999999998E-3</v>
      </c>
      <c r="G258" s="33">
        <v>9.4000000000000004E-3</v>
      </c>
      <c r="H258" s="25">
        <v>6.11</v>
      </c>
      <c r="I258" s="25">
        <v>6.85</v>
      </c>
      <c r="J258" s="25">
        <v>5.05</v>
      </c>
      <c r="K258" s="33"/>
      <c r="L258" s="25">
        <v>5.17</v>
      </c>
      <c r="M258" s="33">
        <v>13.7</v>
      </c>
      <c r="N258" s="9">
        <v>1.1100000000000001</v>
      </c>
      <c r="O258" s="31">
        <v>99.7</v>
      </c>
      <c r="P258" s="38">
        <v>86.539280000000005</v>
      </c>
      <c r="Q258" s="24"/>
      <c r="R258" s="38"/>
      <c r="T258" s="2"/>
      <c r="U258" s="2"/>
      <c r="V258" s="24"/>
      <c r="W258" s="24"/>
      <c r="X258" s="24"/>
      <c r="Y258" s="24"/>
      <c r="Z258" s="24"/>
      <c r="AA258" s="24"/>
      <c r="AB258" s="24"/>
      <c r="AC258" s="25"/>
      <c r="AD258" s="25"/>
      <c r="AE258" s="25"/>
      <c r="AF258" s="25"/>
      <c r="AH258" s="16"/>
      <c r="AI258" s="25"/>
      <c r="AJ258" s="25"/>
      <c r="AL258" s="9"/>
      <c r="AN258" s="9"/>
      <c r="AP258" s="9"/>
      <c r="AQ258" s="9"/>
      <c r="AS258" s="9"/>
    </row>
    <row r="259" spans="1:45">
      <c r="A259" s="13">
        <v>24929</v>
      </c>
      <c r="B259" s="3">
        <v>36.488100000000003</v>
      </c>
      <c r="C259" s="24">
        <v>75561</v>
      </c>
      <c r="D259" s="24">
        <v>67555</v>
      </c>
      <c r="E259" s="2">
        <v>3.5</v>
      </c>
      <c r="F259" s="33">
        <v>8.4092E-2</v>
      </c>
      <c r="G259" s="33">
        <v>8.1929000000000002E-2</v>
      </c>
      <c r="H259" s="25">
        <v>6.21</v>
      </c>
      <c r="I259" s="25">
        <v>6.97</v>
      </c>
      <c r="J259" s="25">
        <v>5.76</v>
      </c>
      <c r="K259" s="33"/>
      <c r="L259" s="25">
        <v>5.38</v>
      </c>
      <c r="M259" s="33">
        <v>13.7</v>
      </c>
      <c r="N259" s="9">
        <v>3.1331000000000002</v>
      </c>
      <c r="O259" s="31">
        <v>97.9</v>
      </c>
      <c r="P259" s="38">
        <v>81.604119999999995</v>
      </c>
      <c r="Q259" s="24"/>
      <c r="R259" s="38"/>
      <c r="T259" s="2"/>
      <c r="U259" s="2"/>
      <c r="V259" s="24"/>
      <c r="W259" s="24"/>
      <c r="X259" s="24"/>
      <c r="Y259" s="24"/>
      <c r="Z259" s="24"/>
      <c r="AA259" s="24"/>
      <c r="AB259" s="24"/>
      <c r="AC259" s="25"/>
      <c r="AD259" s="25"/>
      <c r="AE259" s="25"/>
      <c r="AF259" s="25"/>
      <c r="AH259" s="16"/>
      <c r="AI259" s="25"/>
      <c r="AJ259" s="25"/>
      <c r="AL259" s="9"/>
      <c r="AN259" s="9"/>
      <c r="AP259" s="9"/>
      <c r="AQ259" s="9"/>
      <c r="AS259" s="31"/>
    </row>
    <row r="260" spans="1:45">
      <c r="A260" s="13">
        <v>24959</v>
      </c>
      <c r="B260" s="3">
        <v>36.897399999999998</v>
      </c>
      <c r="C260" s="24">
        <v>76107</v>
      </c>
      <c r="D260" s="24">
        <v>67652</v>
      </c>
      <c r="E260" s="2">
        <v>3.5</v>
      </c>
      <c r="F260" s="33">
        <v>1.6374E-2</v>
      </c>
      <c r="G260" s="33">
        <v>1.1169E-2</v>
      </c>
      <c r="H260" s="25">
        <v>6.27</v>
      </c>
      <c r="I260" s="25">
        <v>7.03</v>
      </c>
      <c r="J260" s="25">
        <v>6.11</v>
      </c>
      <c r="K260" s="33"/>
      <c r="L260" s="25">
        <v>5.66</v>
      </c>
      <c r="M260" s="33">
        <v>13.7</v>
      </c>
      <c r="N260" s="9">
        <v>0.42370000000000002</v>
      </c>
      <c r="O260" s="31">
        <v>95.7</v>
      </c>
      <c r="P260" s="38">
        <v>80.021109999999993</v>
      </c>
      <c r="Q260" s="24"/>
      <c r="R260" s="38"/>
      <c r="T260" s="2"/>
      <c r="U260" s="2"/>
      <c r="V260" s="24"/>
      <c r="W260" s="24"/>
      <c r="X260" s="24"/>
      <c r="Y260" s="24"/>
      <c r="Z260" s="24"/>
      <c r="AA260" s="24"/>
      <c r="AB260" s="24"/>
      <c r="AC260" s="25"/>
      <c r="AD260" s="25"/>
      <c r="AE260" s="25"/>
      <c r="AF260" s="25"/>
      <c r="AH260" s="16"/>
      <c r="AI260" s="25"/>
      <c r="AJ260" s="25"/>
      <c r="AL260" s="9"/>
      <c r="AN260" s="9"/>
      <c r="AP260" s="9"/>
      <c r="AQ260" s="9"/>
      <c r="AS260" s="9"/>
    </row>
    <row r="261" spans="1:45">
      <c r="A261" s="13">
        <v>24990</v>
      </c>
      <c r="B261" s="3">
        <v>37.033000000000001</v>
      </c>
      <c r="C261" s="24">
        <v>76182</v>
      </c>
      <c r="D261" s="24">
        <v>67904</v>
      </c>
      <c r="E261" s="2">
        <v>3.7</v>
      </c>
      <c r="F261" s="33">
        <v>9.9159999999999995E-3</v>
      </c>
      <c r="G261" s="33">
        <v>9.1199999999999996E-3</v>
      </c>
      <c r="H261" s="25">
        <v>6.28</v>
      </c>
      <c r="I261" s="25">
        <v>7.07</v>
      </c>
      <c r="J261" s="25">
        <v>6.07</v>
      </c>
      <c r="K261" s="33"/>
      <c r="L261" s="25">
        <v>5.52</v>
      </c>
      <c r="M261" s="33">
        <v>13.7</v>
      </c>
      <c r="N261" s="9">
        <v>-1.4754</v>
      </c>
      <c r="O261" s="31">
        <v>95.2</v>
      </c>
      <c r="P261" s="38">
        <v>68.255489999999995</v>
      </c>
      <c r="Q261" s="24"/>
      <c r="R261" s="38"/>
      <c r="T261" s="2"/>
      <c r="U261" s="2"/>
      <c r="V261" s="24"/>
      <c r="W261" s="24"/>
      <c r="X261" s="24"/>
      <c r="Y261" s="24"/>
      <c r="Z261" s="24"/>
      <c r="AA261" s="24"/>
      <c r="AB261" s="24"/>
      <c r="AC261" s="25"/>
      <c r="AD261" s="25"/>
      <c r="AE261" s="25"/>
      <c r="AF261" s="25"/>
      <c r="AH261" s="16"/>
      <c r="AI261" s="25"/>
      <c r="AJ261" s="25"/>
      <c r="AL261" s="9"/>
      <c r="AN261" s="9"/>
      <c r="AP261" s="9"/>
      <c r="AQ261" s="9"/>
      <c r="AS261" s="31"/>
    </row>
    <row r="262" spans="1:45">
      <c r="A262" s="13">
        <v>25020</v>
      </c>
      <c r="B262" s="3">
        <v>36.976199999999999</v>
      </c>
      <c r="C262" s="24">
        <v>76087</v>
      </c>
      <c r="D262" s="24">
        <v>68126</v>
      </c>
      <c r="E262" s="2">
        <v>3.7</v>
      </c>
      <c r="F262" s="33">
        <v>-1.7444000000000001E-2</v>
      </c>
      <c r="G262" s="33">
        <v>-1.8478000000000001E-2</v>
      </c>
      <c r="H262" s="25">
        <v>6.24</v>
      </c>
      <c r="I262" s="25">
        <v>6.98</v>
      </c>
      <c r="J262" s="25">
        <v>6.02</v>
      </c>
      <c r="K262" s="33"/>
      <c r="L262" s="25">
        <v>5.31</v>
      </c>
      <c r="M262" s="33">
        <v>13.8</v>
      </c>
      <c r="N262" s="9">
        <v>-0.22449</v>
      </c>
      <c r="O262" s="31">
        <v>94</v>
      </c>
      <c r="P262" s="38">
        <v>88.460589999999996</v>
      </c>
      <c r="Q262" s="24"/>
      <c r="R262" s="38"/>
      <c r="T262" s="2"/>
      <c r="U262" s="2"/>
      <c r="V262" s="24"/>
      <c r="W262" s="24"/>
      <c r="X262" s="24"/>
      <c r="Y262" s="24"/>
      <c r="Z262" s="24"/>
      <c r="AA262" s="24"/>
      <c r="AB262" s="24"/>
      <c r="AC262" s="25"/>
      <c r="AD262" s="25"/>
      <c r="AE262" s="25"/>
      <c r="AF262" s="25"/>
      <c r="AH262" s="16"/>
      <c r="AI262" s="25"/>
      <c r="AJ262" s="25"/>
      <c r="AL262" s="9"/>
      <c r="AN262" s="9"/>
      <c r="AP262" s="9"/>
      <c r="AQ262" s="9"/>
      <c r="AS262" s="9"/>
    </row>
    <row r="263" spans="1:45">
      <c r="A263" s="13">
        <v>25051</v>
      </c>
      <c r="B263" s="3">
        <v>37.0794</v>
      </c>
      <c r="C263" s="24">
        <v>76043</v>
      </c>
      <c r="D263" s="24">
        <v>68328</v>
      </c>
      <c r="E263" s="2">
        <v>3.5</v>
      </c>
      <c r="F263" s="33">
        <v>1.6414999999999999E-2</v>
      </c>
      <c r="G263" s="33">
        <v>1.1459E-2</v>
      </c>
      <c r="H263" s="25">
        <v>6.02</v>
      </c>
      <c r="I263" s="25">
        <v>6.82</v>
      </c>
      <c r="J263" s="25">
        <v>6.03</v>
      </c>
      <c r="K263" s="33"/>
      <c r="L263" s="25">
        <v>5.09</v>
      </c>
      <c r="M263" s="33">
        <v>13.8</v>
      </c>
      <c r="N263" s="9">
        <v>6.9836999999999996E-2</v>
      </c>
      <c r="O263" s="31">
        <v>94.5</v>
      </c>
      <c r="P263" s="38">
        <v>55.140140000000002</v>
      </c>
      <c r="Q263" s="24"/>
      <c r="R263" s="38"/>
      <c r="T263" s="2"/>
      <c r="U263" s="2"/>
      <c r="V263" s="24"/>
      <c r="W263" s="24"/>
      <c r="X263" s="24"/>
      <c r="Y263" s="24"/>
      <c r="Z263" s="24"/>
      <c r="AA263" s="24"/>
      <c r="AB263" s="24"/>
      <c r="AC263" s="25"/>
      <c r="AD263" s="25"/>
      <c r="AE263" s="25"/>
      <c r="AF263" s="25"/>
      <c r="AH263" s="16"/>
      <c r="AI263" s="25"/>
      <c r="AJ263" s="25"/>
      <c r="AL263" s="9"/>
      <c r="AN263" s="9"/>
      <c r="AP263" s="9"/>
      <c r="AQ263" s="9"/>
      <c r="AS263" s="31"/>
    </row>
    <row r="264" spans="1:45">
      <c r="A264" s="13">
        <v>25082</v>
      </c>
      <c r="B264" s="3">
        <v>37.219799999999999</v>
      </c>
      <c r="C264" s="24">
        <v>76172</v>
      </c>
      <c r="D264" s="24">
        <v>68487</v>
      </c>
      <c r="E264" s="2">
        <v>3.4</v>
      </c>
      <c r="F264" s="33">
        <v>3.9350999999999997E-2</v>
      </c>
      <c r="G264" s="33">
        <v>3.8538999999999997E-2</v>
      </c>
      <c r="H264" s="25">
        <v>5.97</v>
      </c>
      <c r="I264" s="25">
        <v>6.79</v>
      </c>
      <c r="J264" s="25">
        <v>5.78</v>
      </c>
      <c r="K264" s="33"/>
      <c r="L264" s="25">
        <v>5.19</v>
      </c>
      <c r="M264" s="33">
        <v>13.8</v>
      </c>
      <c r="N264" s="9">
        <v>-1.7028000000000001</v>
      </c>
      <c r="O264" s="31">
        <v>95.7</v>
      </c>
      <c r="P264" s="38">
        <v>72.057270000000003</v>
      </c>
      <c r="Q264" s="24"/>
      <c r="R264" s="38"/>
      <c r="T264" s="2"/>
      <c r="U264" s="2"/>
      <c r="V264" s="24"/>
      <c r="W264" s="24"/>
      <c r="X264" s="24"/>
      <c r="Y264" s="24"/>
      <c r="Z264" s="24"/>
      <c r="AA264" s="24"/>
      <c r="AB264" s="24"/>
      <c r="AC264" s="25"/>
      <c r="AD264" s="25"/>
      <c r="AE264" s="25"/>
      <c r="AF264" s="25"/>
      <c r="AH264" s="16"/>
      <c r="AI264" s="25"/>
      <c r="AJ264" s="25"/>
      <c r="AL264" s="9"/>
      <c r="AN264" s="9"/>
      <c r="AP264" s="9"/>
      <c r="AQ264" s="9"/>
      <c r="AS264" s="9"/>
    </row>
    <row r="265" spans="1:45">
      <c r="A265" s="13">
        <v>25112</v>
      </c>
      <c r="B265" s="3">
        <v>37.293700000000001</v>
      </c>
      <c r="C265" s="24">
        <v>76224</v>
      </c>
      <c r="D265" s="24">
        <v>68720</v>
      </c>
      <c r="E265" s="2">
        <v>3.4</v>
      </c>
      <c r="F265" s="33">
        <v>8.5869999999999991E-3</v>
      </c>
      <c r="G265" s="33">
        <v>7.208E-3</v>
      </c>
      <c r="H265" s="25">
        <v>6.09</v>
      </c>
      <c r="I265" s="25">
        <v>6.84</v>
      </c>
      <c r="J265" s="25">
        <v>5.91</v>
      </c>
      <c r="K265" s="33"/>
      <c r="L265" s="25">
        <v>5.35</v>
      </c>
      <c r="M265" s="33">
        <v>13.8</v>
      </c>
      <c r="N265" s="9">
        <v>0.90922999999999998</v>
      </c>
      <c r="O265" s="31">
        <v>97.1</v>
      </c>
      <c r="P265" s="38">
        <v>64.945130000000006</v>
      </c>
      <c r="Q265" s="24"/>
      <c r="R265" s="38"/>
      <c r="T265" s="2"/>
      <c r="U265" s="2"/>
      <c r="V265" s="24"/>
      <c r="W265" s="24"/>
      <c r="X265" s="24"/>
      <c r="Y265" s="24"/>
      <c r="Z265" s="24"/>
      <c r="AA265" s="24"/>
      <c r="AB265" s="24"/>
      <c r="AC265" s="25"/>
      <c r="AD265" s="25"/>
      <c r="AE265" s="25"/>
      <c r="AF265" s="25"/>
      <c r="AH265" s="16"/>
      <c r="AI265" s="25"/>
      <c r="AJ265" s="25"/>
      <c r="AL265" s="9"/>
      <c r="AN265" s="9"/>
      <c r="AP265" s="9"/>
      <c r="AQ265" s="9"/>
      <c r="AS265" s="31"/>
    </row>
    <row r="266" spans="1:45">
      <c r="A266" s="13">
        <v>25143</v>
      </c>
      <c r="B266" s="3">
        <v>37.7761</v>
      </c>
      <c r="C266" s="24">
        <v>76494</v>
      </c>
      <c r="D266" s="24">
        <v>68985</v>
      </c>
      <c r="E266" s="2">
        <v>3.4</v>
      </c>
      <c r="F266" s="33">
        <v>5.3580000000000003E-2</v>
      </c>
      <c r="G266" s="33">
        <v>4.7964E-2</v>
      </c>
      <c r="H266" s="25">
        <v>6.19</v>
      </c>
      <c r="I266" s="25">
        <v>7.01</v>
      </c>
      <c r="J266" s="25">
        <v>5.82</v>
      </c>
      <c r="K266" s="33"/>
      <c r="L266" s="25">
        <v>5.45</v>
      </c>
      <c r="M266" s="33">
        <v>13.8</v>
      </c>
      <c r="N266" s="9">
        <v>-1.2438</v>
      </c>
      <c r="O266" s="31">
        <v>99.9</v>
      </c>
      <c r="P266" s="38">
        <v>82.867900000000006</v>
      </c>
      <c r="Q266" s="24"/>
      <c r="R266" s="38"/>
      <c r="T266" s="2"/>
      <c r="U266" s="2"/>
      <c r="V266" s="24"/>
      <c r="W266" s="24"/>
      <c r="X266" s="24"/>
      <c r="Y266" s="24"/>
      <c r="Z266" s="24"/>
      <c r="AA266" s="24"/>
      <c r="AB266" s="24"/>
      <c r="AC266" s="25"/>
      <c r="AD266" s="25"/>
      <c r="AE266" s="25"/>
      <c r="AF266" s="25"/>
      <c r="AH266" s="16"/>
      <c r="AI266" s="25"/>
      <c r="AJ266" s="25"/>
      <c r="AL266" s="9"/>
      <c r="AN266" s="9"/>
      <c r="AP266" s="9"/>
      <c r="AQ266" s="9"/>
      <c r="AS266" s="9"/>
    </row>
    <row r="267" spans="1:45">
      <c r="A267" s="13">
        <v>25173</v>
      </c>
      <c r="B267" s="3">
        <v>37.895400000000002</v>
      </c>
      <c r="C267" s="24">
        <v>76778</v>
      </c>
      <c r="D267" s="24">
        <v>69245</v>
      </c>
      <c r="E267" s="2">
        <v>3.4</v>
      </c>
      <c r="F267" s="33">
        <v>-4.0826000000000001E-2</v>
      </c>
      <c r="G267" s="33">
        <v>-4.1617000000000001E-2</v>
      </c>
      <c r="H267" s="25">
        <v>6.45</v>
      </c>
      <c r="I267" s="25">
        <v>7.23</v>
      </c>
      <c r="J267" s="25">
        <v>6.02</v>
      </c>
      <c r="K267" s="33"/>
      <c r="L267" s="25">
        <v>5.96</v>
      </c>
      <c r="M267" s="33">
        <v>13.8</v>
      </c>
      <c r="N267" s="9">
        <v>0.66884999999999994</v>
      </c>
      <c r="O267" s="31">
        <v>100.3</v>
      </c>
      <c r="P267" s="38">
        <v>62.826619999999998</v>
      </c>
      <c r="Q267" s="24"/>
      <c r="R267" s="38"/>
      <c r="T267" s="2"/>
      <c r="U267" s="2"/>
      <c r="V267" s="24"/>
      <c r="W267" s="24"/>
      <c r="X267" s="24"/>
      <c r="Y267" s="24"/>
      <c r="Z267" s="24"/>
      <c r="AA267" s="24"/>
      <c r="AB267" s="24"/>
      <c r="AC267" s="25"/>
      <c r="AD267" s="25"/>
      <c r="AE267" s="25"/>
      <c r="AF267" s="25"/>
      <c r="AH267" s="16"/>
      <c r="AI267" s="25"/>
      <c r="AJ267" s="25"/>
      <c r="AL267" s="9"/>
      <c r="AN267" s="9"/>
      <c r="AP267" s="9"/>
      <c r="AQ267" s="9"/>
      <c r="AS267" s="31"/>
    </row>
    <row r="268" spans="1:45">
      <c r="A268" s="13">
        <v>25204</v>
      </c>
      <c r="B268" s="3">
        <v>38.124600000000001</v>
      </c>
      <c r="C268" s="24">
        <v>76805</v>
      </c>
      <c r="D268" s="24">
        <v>69438</v>
      </c>
      <c r="E268" s="2">
        <v>3.4</v>
      </c>
      <c r="F268" s="33">
        <v>-7.5469999999999999E-3</v>
      </c>
      <c r="G268" s="33">
        <v>-8.1840000000000003E-3</v>
      </c>
      <c r="H268" s="25">
        <v>6.59</v>
      </c>
      <c r="I268" s="25">
        <v>7.32</v>
      </c>
      <c r="J268" s="25">
        <v>6.3</v>
      </c>
      <c r="K268" s="33"/>
      <c r="L268" s="25">
        <v>6.14</v>
      </c>
      <c r="M268" s="33">
        <v>13.8</v>
      </c>
      <c r="N268" s="9">
        <v>1.2287999999999999</v>
      </c>
      <c r="O268" s="31">
        <v>103</v>
      </c>
      <c r="P268" s="38">
        <v>92.145910000000001</v>
      </c>
      <c r="Q268" s="22">
        <v>0</v>
      </c>
      <c r="R268" s="38"/>
      <c r="T268" s="2"/>
      <c r="U268" s="2"/>
      <c r="V268" s="24"/>
      <c r="W268" s="24"/>
      <c r="X268" s="24"/>
      <c r="Y268" s="24"/>
      <c r="Z268" s="24"/>
      <c r="AA268" s="24"/>
      <c r="AB268" s="24"/>
      <c r="AC268" s="25"/>
      <c r="AD268" s="25"/>
      <c r="AE268" s="25"/>
      <c r="AF268" s="25"/>
      <c r="AH268" s="16"/>
      <c r="AI268" s="25"/>
      <c r="AJ268" s="25"/>
      <c r="AL268" s="9"/>
      <c r="AM268" s="22"/>
      <c r="AN268" s="9"/>
      <c r="AP268" s="9"/>
      <c r="AQ268" s="9"/>
      <c r="AS268" s="9"/>
    </row>
    <row r="269" spans="1:45">
      <c r="A269" s="13">
        <v>25235</v>
      </c>
      <c r="B269" s="3">
        <v>38.368600000000001</v>
      </c>
      <c r="C269" s="24">
        <v>77327</v>
      </c>
      <c r="D269" s="24">
        <v>69698</v>
      </c>
      <c r="E269" s="2">
        <v>3.4</v>
      </c>
      <c r="F269" s="33">
        <v>-4.2320999999999998E-2</v>
      </c>
      <c r="G269" s="33">
        <v>-4.7373999999999999E-2</v>
      </c>
      <c r="H269" s="25">
        <v>6.66</v>
      </c>
      <c r="I269" s="25">
        <v>7.3</v>
      </c>
      <c r="J269" s="25">
        <v>6.61</v>
      </c>
      <c r="K269" s="33"/>
      <c r="L269" s="25">
        <v>6.12</v>
      </c>
      <c r="M269" s="33">
        <v>13.8</v>
      </c>
      <c r="N269" s="9">
        <v>0.51398999999999995</v>
      </c>
      <c r="O269" s="31">
        <v>105.9</v>
      </c>
      <c r="P269" s="38">
        <v>64.680440000000004</v>
      </c>
      <c r="Q269" s="22">
        <v>0</v>
      </c>
      <c r="R269" s="38"/>
      <c r="T269" s="2"/>
      <c r="U269" s="2"/>
      <c r="V269" s="24"/>
      <c r="W269" s="24"/>
      <c r="X269" s="24"/>
      <c r="Y269" s="24"/>
      <c r="Z269" s="24"/>
      <c r="AA269" s="24"/>
      <c r="AB269" s="24"/>
      <c r="AC269" s="25"/>
      <c r="AD269" s="25"/>
      <c r="AE269" s="25"/>
      <c r="AF269" s="25"/>
      <c r="AH269" s="16"/>
      <c r="AI269" s="25"/>
      <c r="AJ269" s="25"/>
      <c r="AL269" s="9"/>
      <c r="AM269" s="22"/>
      <c r="AN269" s="9"/>
      <c r="AP269" s="9"/>
      <c r="AQ269" s="9"/>
      <c r="AS269" s="31"/>
    </row>
    <row r="270" spans="1:45">
      <c r="A270" s="13">
        <v>25263</v>
      </c>
      <c r="B270" s="3">
        <v>38.669499999999999</v>
      </c>
      <c r="C270" s="24">
        <v>77367</v>
      </c>
      <c r="D270" s="24">
        <v>69906</v>
      </c>
      <c r="E270" s="2">
        <v>3.4</v>
      </c>
      <c r="F270" s="33">
        <v>3.4847000000000003E-2</v>
      </c>
      <c r="G270" s="33">
        <v>3.4444000000000002E-2</v>
      </c>
      <c r="H270" s="25">
        <v>6.85</v>
      </c>
      <c r="I270" s="25">
        <v>7.51</v>
      </c>
      <c r="J270" s="25">
        <v>6.79</v>
      </c>
      <c r="K270" s="33"/>
      <c r="L270" s="25">
        <v>6.02</v>
      </c>
      <c r="M270" s="33">
        <v>14.3</v>
      </c>
      <c r="N270">
        <v>-0.36130000000000001</v>
      </c>
      <c r="O270" s="31">
        <v>106.5</v>
      </c>
      <c r="P270" s="38">
        <v>61.417209999999997</v>
      </c>
      <c r="Q270" s="22">
        <v>-0.24526549171100001</v>
      </c>
      <c r="R270" s="38"/>
      <c r="T270" s="2"/>
      <c r="U270" s="2"/>
      <c r="V270" s="24"/>
      <c r="W270" s="24"/>
      <c r="X270" s="24"/>
      <c r="Y270" s="24"/>
      <c r="Z270" s="24"/>
      <c r="AA270" s="24"/>
      <c r="AB270" s="24"/>
      <c r="AC270" s="25"/>
      <c r="AD270" s="25"/>
      <c r="AE270" s="25"/>
      <c r="AF270" s="25"/>
      <c r="AH270" s="16"/>
      <c r="AI270" s="25"/>
      <c r="AJ270" s="25"/>
      <c r="AL270" s="9"/>
      <c r="AM270" s="22"/>
      <c r="AN270" s="9"/>
      <c r="AP270" s="9"/>
      <c r="AQ270" s="9"/>
      <c r="AS270" s="9"/>
    </row>
    <row r="271" spans="1:45">
      <c r="A271" s="13">
        <v>25294</v>
      </c>
      <c r="B271" s="3">
        <v>38.527200000000001</v>
      </c>
      <c r="C271" s="24">
        <v>77523</v>
      </c>
      <c r="D271" s="24">
        <v>70072</v>
      </c>
      <c r="E271" s="2">
        <v>3.4</v>
      </c>
      <c r="F271" s="33">
        <v>2.2771E-2</v>
      </c>
      <c r="G271" s="33">
        <v>2.1475999999999999E-2</v>
      </c>
      <c r="H271" s="25">
        <v>6.89</v>
      </c>
      <c r="I271" s="25">
        <v>7.54</v>
      </c>
      <c r="J271" s="25">
        <v>7.41</v>
      </c>
      <c r="K271" s="33"/>
      <c r="L271" s="25">
        <v>6.11</v>
      </c>
      <c r="M271" s="33">
        <v>14.5</v>
      </c>
      <c r="N271">
        <v>3.0304000000000002</v>
      </c>
      <c r="O271" s="31">
        <v>108.9</v>
      </c>
      <c r="P271" s="38">
        <v>52.857570000000003</v>
      </c>
      <c r="Q271" s="22">
        <v>0.40478158981899998</v>
      </c>
      <c r="R271" s="38"/>
      <c r="T271" s="2"/>
      <c r="U271" s="2"/>
      <c r="V271" s="24"/>
      <c r="W271" s="24"/>
      <c r="X271" s="24"/>
      <c r="Y271" s="24"/>
      <c r="Z271" s="24"/>
      <c r="AA271" s="24"/>
      <c r="AB271" s="24"/>
      <c r="AC271" s="25"/>
      <c r="AD271" s="25"/>
      <c r="AE271" s="25"/>
      <c r="AF271" s="25"/>
      <c r="AH271" s="16"/>
      <c r="AI271" s="25"/>
      <c r="AJ271" s="25"/>
      <c r="AL271" s="9"/>
      <c r="AM271" s="22"/>
      <c r="AN271" s="9"/>
      <c r="AP271" s="9"/>
      <c r="AQ271" s="9"/>
      <c r="AS271" s="31"/>
    </row>
    <row r="272" spans="1:45">
      <c r="A272" s="13">
        <v>25324</v>
      </c>
      <c r="B272" s="3">
        <v>38.381599999999999</v>
      </c>
      <c r="C272" s="24">
        <v>77412</v>
      </c>
      <c r="D272" s="24">
        <v>70328</v>
      </c>
      <c r="E272" s="2">
        <v>3.4</v>
      </c>
      <c r="F272" s="33">
        <v>3.8539999999999998E-3</v>
      </c>
      <c r="G272" s="33">
        <v>-2.2179999999999999E-3</v>
      </c>
      <c r="H272" s="25">
        <v>6.79</v>
      </c>
      <c r="I272" s="25">
        <v>7.52</v>
      </c>
      <c r="J272" s="25">
        <v>8.67</v>
      </c>
      <c r="K272" s="33"/>
      <c r="L272" s="25">
        <v>6.04</v>
      </c>
      <c r="M272" s="33">
        <v>14.5</v>
      </c>
      <c r="N272">
        <v>7.0494000000000003</v>
      </c>
      <c r="O272" s="31">
        <v>110</v>
      </c>
      <c r="P272" s="38">
        <v>50.875079999999997</v>
      </c>
      <c r="Q272" s="22">
        <v>0.203939724169</v>
      </c>
      <c r="R272" s="38"/>
      <c r="T272" s="2"/>
      <c r="U272" s="2"/>
      <c r="V272" s="24"/>
      <c r="W272" s="24"/>
      <c r="X272" s="24"/>
      <c r="Y272" s="24"/>
      <c r="Z272" s="24"/>
      <c r="AA272" s="24"/>
      <c r="AB272" s="24"/>
      <c r="AC272" s="25"/>
      <c r="AD272" s="25"/>
      <c r="AE272" s="25"/>
      <c r="AF272" s="25"/>
      <c r="AH272" s="16"/>
      <c r="AI272" s="25"/>
      <c r="AJ272" s="25"/>
      <c r="AL272" s="9"/>
      <c r="AM272" s="22"/>
      <c r="AN272" s="9"/>
      <c r="AP272" s="9"/>
      <c r="AQ272" s="9"/>
      <c r="AS272" s="9"/>
    </row>
    <row r="273" spans="1:45">
      <c r="A273" s="13">
        <v>25355</v>
      </c>
      <c r="B273" s="3">
        <v>38.756500000000003</v>
      </c>
      <c r="C273" s="24">
        <v>77880</v>
      </c>
      <c r="D273" s="24">
        <v>70636</v>
      </c>
      <c r="E273" s="2">
        <v>3.5</v>
      </c>
      <c r="F273" s="33">
        <v>-5.4357000000000003E-2</v>
      </c>
      <c r="G273" s="33">
        <v>-5.5577000000000001E-2</v>
      </c>
      <c r="H273" s="25">
        <v>6.98</v>
      </c>
      <c r="I273" s="25">
        <v>7.7</v>
      </c>
      <c r="J273" s="25">
        <v>8.9</v>
      </c>
      <c r="K273" s="33"/>
      <c r="L273" s="25">
        <v>6.44</v>
      </c>
      <c r="M273" s="33">
        <v>14.5</v>
      </c>
      <c r="N273">
        <v>-0.5504</v>
      </c>
      <c r="O273" s="31">
        <v>111.2</v>
      </c>
      <c r="P273" s="38">
        <v>74.728989999999996</v>
      </c>
      <c r="Q273" s="22">
        <v>-2.0204748722E-2</v>
      </c>
      <c r="R273" s="38"/>
      <c r="T273" s="2"/>
      <c r="U273" s="2"/>
      <c r="V273" s="24"/>
      <c r="W273" s="24"/>
      <c r="X273" s="24"/>
      <c r="Y273" s="24"/>
      <c r="Z273" s="24"/>
      <c r="AA273" s="24"/>
      <c r="AB273" s="24"/>
      <c r="AC273" s="25"/>
      <c r="AD273" s="25"/>
      <c r="AE273" s="25"/>
      <c r="AF273" s="25"/>
      <c r="AH273" s="16"/>
      <c r="AI273" s="25"/>
      <c r="AJ273" s="25"/>
      <c r="AL273" s="9"/>
      <c r="AM273" s="22"/>
      <c r="AN273" s="9"/>
      <c r="AP273" s="9"/>
      <c r="AQ273" s="9"/>
      <c r="AS273" s="31"/>
    </row>
    <row r="274" spans="1:45">
      <c r="A274" s="13">
        <v>25385</v>
      </c>
      <c r="B274" s="3">
        <v>38.961199999999998</v>
      </c>
      <c r="C274" s="24">
        <v>77959</v>
      </c>
      <c r="D274" s="24">
        <v>70730</v>
      </c>
      <c r="E274" s="2">
        <v>3.5</v>
      </c>
      <c r="F274" s="33">
        <v>-5.8631999999999997E-2</v>
      </c>
      <c r="G274" s="33">
        <v>-6.0178000000000002E-2</v>
      </c>
      <c r="H274" s="25">
        <v>7.08</v>
      </c>
      <c r="I274" s="25">
        <v>7.84</v>
      </c>
      <c r="J274" s="25">
        <v>8.61</v>
      </c>
      <c r="K274" s="33"/>
      <c r="L274" s="25">
        <v>7</v>
      </c>
      <c r="M274" s="33">
        <v>14.5</v>
      </c>
      <c r="N274">
        <v>-2.4577</v>
      </c>
      <c r="O274" s="31">
        <v>112</v>
      </c>
      <c r="P274" s="38">
        <v>79.056690000000003</v>
      </c>
      <c r="Q274" s="22">
        <v>0.18070654813600001</v>
      </c>
      <c r="R274" s="38"/>
      <c r="T274" s="2"/>
      <c r="U274" s="2"/>
      <c r="V274" s="24"/>
      <c r="W274" s="24"/>
      <c r="X274" s="24"/>
      <c r="Y274" s="24"/>
      <c r="Z274" s="24"/>
      <c r="AA274" s="24"/>
      <c r="AB274" s="24"/>
      <c r="AC274" s="25"/>
      <c r="AD274" s="25"/>
      <c r="AE274" s="25"/>
      <c r="AF274" s="25"/>
      <c r="AH274" s="16"/>
      <c r="AI274" s="25"/>
      <c r="AJ274" s="25"/>
      <c r="AL274" s="9"/>
      <c r="AM274" s="22"/>
      <c r="AN274" s="9"/>
      <c r="AP274" s="9"/>
      <c r="AQ274" s="9"/>
      <c r="AS274" s="9"/>
    </row>
    <row r="275" spans="1:45">
      <c r="A275" s="13">
        <v>25416</v>
      </c>
      <c r="B275" s="3">
        <v>39.050699999999999</v>
      </c>
      <c r="C275" s="24">
        <v>78250</v>
      </c>
      <c r="D275" s="24">
        <v>71005</v>
      </c>
      <c r="E275" s="2">
        <v>3.5</v>
      </c>
      <c r="F275" s="33">
        <v>4.5727999999999998E-2</v>
      </c>
      <c r="G275" s="33">
        <v>4.0073999999999999E-2</v>
      </c>
      <c r="H275" s="25">
        <v>6.97</v>
      </c>
      <c r="I275" s="25">
        <v>7.86</v>
      </c>
      <c r="J275" s="25">
        <v>9.19</v>
      </c>
      <c r="K275" s="33"/>
      <c r="L275" s="25">
        <v>6.98</v>
      </c>
      <c r="M275" s="33">
        <v>14.5</v>
      </c>
      <c r="N275">
        <v>4.1787999999999998</v>
      </c>
      <c r="O275" s="31">
        <v>114.5</v>
      </c>
      <c r="P275" s="38">
        <v>65.819670000000002</v>
      </c>
      <c r="Q275" s="22">
        <v>0.30942411088400001</v>
      </c>
      <c r="R275" s="38"/>
      <c r="T275" s="2"/>
      <c r="U275" s="2"/>
      <c r="V275" s="24"/>
      <c r="W275" s="24"/>
      <c r="X275" s="24"/>
      <c r="Y275" s="24"/>
      <c r="Z275" s="24"/>
      <c r="AA275" s="24"/>
      <c r="AB275" s="24"/>
      <c r="AC275" s="25"/>
      <c r="AD275" s="25"/>
      <c r="AE275" s="25"/>
      <c r="AF275" s="25"/>
      <c r="AH275" s="16"/>
      <c r="AI275" s="25"/>
      <c r="AJ275" s="25"/>
      <c r="AL275" s="9"/>
      <c r="AM275" s="22"/>
      <c r="AN275" s="9"/>
      <c r="AP275" s="9"/>
      <c r="AQ275" s="9"/>
      <c r="AS275" s="31"/>
    </row>
    <row r="276" spans="1:45">
      <c r="A276" s="13">
        <v>25447</v>
      </c>
      <c r="B276" s="3">
        <v>39.041899999999998</v>
      </c>
      <c r="C276" s="24">
        <v>78250</v>
      </c>
      <c r="D276" s="24">
        <v>70918</v>
      </c>
      <c r="E276" s="2">
        <v>3.7</v>
      </c>
      <c r="F276" s="33">
        <v>-2.3941E-2</v>
      </c>
      <c r="G276" s="33">
        <v>-2.5024000000000001E-2</v>
      </c>
      <c r="H276" s="25">
        <v>7.14</v>
      </c>
      <c r="I276" s="25">
        <v>8.0500000000000007</v>
      </c>
      <c r="J276" s="25">
        <v>9.15</v>
      </c>
      <c r="K276" s="33"/>
      <c r="L276" s="25">
        <v>7.09</v>
      </c>
      <c r="M276" s="33">
        <v>14.5</v>
      </c>
      <c r="N276">
        <v>-0.91652999999999996</v>
      </c>
      <c r="O276" s="31">
        <v>116.9</v>
      </c>
      <c r="P276" s="38">
        <v>71.968400000000003</v>
      </c>
      <c r="Q276" s="22">
        <v>2.9007548687E-2</v>
      </c>
      <c r="R276" s="38"/>
      <c r="T276" s="2"/>
      <c r="U276" s="2"/>
      <c r="V276" s="24"/>
      <c r="W276" s="24"/>
      <c r="X276" s="24"/>
      <c r="Y276" s="24"/>
      <c r="Z276" s="24"/>
      <c r="AA276" s="24"/>
      <c r="AB276" s="24"/>
      <c r="AC276" s="25"/>
      <c r="AD276" s="25"/>
      <c r="AE276" s="25"/>
      <c r="AF276" s="25"/>
      <c r="AH276" s="16"/>
      <c r="AI276" s="25"/>
      <c r="AJ276" s="25"/>
      <c r="AL276" s="9"/>
      <c r="AM276" s="22"/>
      <c r="AN276" s="9"/>
      <c r="AP276" s="9"/>
      <c r="AQ276" s="9"/>
      <c r="AS276" s="9"/>
    </row>
    <row r="277" spans="1:45">
      <c r="A277" s="13">
        <v>25477</v>
      </c>
      <c r="B277" s="3">
        <v>39.053400000000003</v>
      </c>
      <c r="C277" s="24">
        <v>78445</v>
      </c>
      <c r="D277" s="24">
        <v>71119</v>
      </c>
      <c r="E277" s="2">
        <v>3.7</v>
      </c>
      <c r="F277" s="33">
        <v>4.6899999999999997E-2</v>
      </c>
      <c r="G277" s="33">
        <v>4.4243999999999999E-2</v>
      </c>
      <c r="H277" s="25">
        <v>7.33</v>
      </c>
      <c r="I277" s="25">
        <v>8.2200000000000006</v>
      </c>
      <c r="J277" s="25">
        <v>9</v>
      </c>
      <c r="K277" s="33"/>
      <c r="L277" s="25">
        <v>7</v>
      </c>
      <c r="M277" s="33">
        <v>14.5</v>
      </c>
      <c r="N277">
        <v>-0.45100000000000001</v>
      </c>
      <c r="O277" s="31">
        <v>115.1</v>
      </c>
      <c r="P277" s="38">
        <v>63.305289999999999</v>
      </c>
      <c r="Q277" s="22">
        <v>8.7546234437000006E-2</v>
      </c>
      <c r="R277" s="38"/>
      <c r="T277" s="2"/>
      <c r="U277" s="2"/>
      <c r="V277" s="24"/>
      <c r="W277" s="24"/>
      <c r="X277" s="24"/>
      <c r="Y277" s="24"/>
      <c r="Z277" s="24"/>
      <c r="AA277" s="24"/>
      <c r="AB277" s="24"/>
      <c r="AC277" s="25"/>
      <c r="AD277" s="25"/>
      <c r="AE277" s="25"/>
      <c r="AF277" s="25"/>
      <c r="AH277" s="16"/>
      <c r="AI277" s="25"/>
      <c r="AJ277" s="25"/>
      <c r="AL277" s="9"/>
      <c r="AM277" s="22"/>
      <c r="AN277" s="9"/>
      <c r="AP277" s="9"/>
      <c r="AQ277" s="9"/>
      <c r="AS277" s="31"/>
    </row>
    <row r="278" spans="1:45">
      <c r="A278" s="13">
        <v>25508</v>
      </c>
      <c r="B278" s="3">
        <v>38.685200000000002</v>
      </c>
      <c r="C278" s="24">
        <v>78541</v>
      </c>
      <c r="D278" s="24">
        <v>71088</v>
      </c>
      <c r="E278" s="2">
        <v>3.5</v>
      </c>
      <c r="F278" s="33">
        <v>-2.9152000000000001E-2</v>
      </c>
      <c r="G278" s="33">
        <v>-3.5274E-2</v>
      </c>
      <c r="H278" s="25">
        <v>7.35</v>
      </c>
      <c r="I278" s="25">
        <v>8.25</v>
      </c>
      <c r="J278" s="25">
        <v>8.85</v>
      </c>
      <c r="K278" s="33"/>
      <c r="L278" s="25">
        <v>7.24</v>
      </c>
      <c r="M278" s="33">
        <v>14.5</v>
      </c>
      <c r="N278">
        <v>-0.57699999999999996</v>
      </c>
      <c r="O278" s="31">
        <v>115.1</v>
      </c>
      <c r="P278" s="38">
        <v>60.960740000000001</v>
      </c>
      <c r="Q278" s="22">
        <v>-5.086380895E-3</v>
      </c>
      <c r="R278" s="38"/>
      <c r="T278" s="2"/>
      <c r="U278" s="2"/>
      <c r="V278" s="24"/>
      <c r="W278" s="24"/>
      <c r="X278" s="24"/>
      <c r="Y278" s="24"/>
      <c r="Z278" s="24"/>
      <c r="AA278" s="24"/>
      <c r="AB278" s="24"/>
      <c r="AC278" s="25"/>
      <c r="AD278" s="25"/>
      <c r="AE278" s="25"/>
      <c r="AF278" s="25"/>
      <c r="AH278" s="16"/>
      <c r="AI278" s="25"/>
      <c r="AJ278" s="25"/>
      <c r="AL278" s="9"/>
      <c r="AM278" s="22"/>
      <c r="AN278" s="9"/>
      <c r="AP278" s="9"/>
      <c r="AQ278" s="9"/>
      <c r="AS278" s="9"/>
    </row>
    <row r="279" spans="1:45">
      <c r="A279" s="13">
        <v>25538</v>
      </c>
      <c r="B279" s="3">
        <v>38.581400000000002</v>
      </c>
      <c r="C279" s="24">
        <v>78740</v>
      </c>
      <c r="D279" s="24">
        <v>71240</v>
      </c>
      <c r="E279" s="2">
        <v>3.5</v>
      </c>
      <c r="F279" s="33">
        <v>-1.6922E-2</v>
      </c>
      <c r="G279" s="33">
        <v>-1.8655000000000001E-2</v>
      </c>
      <c r="H279" s="25">
        <v>7.72</v>
      </c>
      <c r="I279" s="25">
        <v>8.65</v>
      </c>
      <c r="J279" s="25">
        <v>8.9700000000000006</v>
      </c>
      <c r="K279" s="33"/>
      <c r="L279" s="25">
        <v>7.82</v>
      </c>
      <c r="M279" s="33">
        <v>14.5</v>
      </c>
      <c r="N279">
        <v>1.6813</v>
      </c>
      <c r="O279" s="31">
        <v>116.7</v>
      </c>
      <c r="P279" s="38">
        <v>73.552679999999995</v>
      </c>
      <c r="Q279" s="22">
        <v>6.4686859079E-2</v>
      </c>
      <c r="R279" s="38"/>
      <c r="T279" s="2"/>
      <c r="U279" s="2"/>
      <c r="V279" s="24"/>
      <c r="W279" s="24"/>
      <c r="X279" s="24"/>
      <c r="Y279" s="24"/>
      <c r="Z279" s="24"/>
      <c r="AA279" s="24"/>
      <c r="AB279" s="24"/>
      <c r="AC279" s="25"/>
      <c r="AD279" s="25"/>
      <c r="AE279" s="25"/>
      <c r="AF279" s="25"/>
      <c r="AH279" s="16"/>
      <c r="AI279" s="25"/>
      <c r="AJ279" s="25"/>
      <c r="AL279" s="9"/>
      <c r="AM279" s="22"/>
      <c r="AN279" s="9"/>
      <c r="AP279" s="9"/>
      <c r="AQ279" s="9"/>
      <c r="AS279" s="31"/>
    </row>
    <row r="280" spans="1:45">
      <c r="A280" s="13">
        <v>25569</v>
      </c>
      <c r="B280" s="3">
        <v>37.866999999999997</v>
      </c>
      <c r="C280" s="24">
        <v>78780</v>
      </c>
      <c r="D280" s="24">
        <v>71176</v>
      </c>
      <c r="E280" s="2">
        <v>3.9</v>
      </c>
      <c r="F280" s="33">
        <v>-7.5398000000000007E-2</v>
      </c>
      <c r="G280" s="33">
        <v>-7.6471999999999998E-2</v>
      </c>
      <c r="H280" s="25">
        <v>7.91</v>
      </c>
      <c r="I280" s="25">
        <v>8.86</v>
      </c>
      <c r="J280" s="25">
        <v>8.98</v>
      </c>
      <c r="K280" s="33"/>
      <c r="L280" s="25">
        <v>7.87</v>
      </c>
      <c r="M280" s="33">
        <v>14.5</v>
      </c>
      <c r="N280">
        <v>0.55237000000000003</v>
      </c>
      <c r="O280" s="31">
        <v>118.9</v>
      </c>
      <c r="P280" s="38">
        <v>63.7408</v>
      </c>
      <c r="Q280" s="22">
        <v>-0.160187964934</v>
      </c>
      <c r="R280" s="38"/>
      <c r="T280" s="2"/>
      <c r="U280" s="2"/>
      <c r="V280" s="24"/>
      <c r="W280" s="24"/>
      <c r="X280" s="24"/>
      <c r="Y280" s="24"/>
      <c r="Z280" s="24"/>
      <c r="AA280" s="24"/>
      <c r="AB280" s="24"/>
      <c r="AC280" s="25"/>
      <c r="AD280" s="25"/>
      <c r="AE280" s="25"/>
      <c r="AF280" s="25"/>
      <c r="AH280" s="16"/>
      <c r="AI280" s="25"/>
      <c r="AJ280" s="25"/>
      <c r="AL280" s="9"/>
      <c r="AM280" s="22"/>
      <c r="AN280" s="9"/>
      <c r="AP280" s="9"/>
      <c r="AQ280" s="9"/>
      <c r="AS280" s="9"/>
    </row>
    <row r="281" spans="1:45">
      <c r="A281" s="13">
        <v>25600</v>
      </c>
      <c r="B281" s="3">
        <v>37.841999999999999</v>
      </c>
      <c r="C281" s="24">
        <v>78698</v>
      </c>
      <c r="D281" s="24">
        <v>71302</v>
      </c>
      <c r="E281" s="2">
        <v>4.2</v>
      </c>
      <c r="F281" s="33">
        <v>5.9520999999999998E-2</v>
      </c>
      <c r="G281" s="33">
        <v>5.2692999999999997E-2</v>
      </c>
      <c r="H281" s="25">
        <v>7.93</v>
      </c>
      <c r="I281" s="25">
        <v>8.7799999999999994</v>
      </c>
      <c r="J281" s="25">
        <v>8.98</v>
      </c>
      <c r="K281" s="33"/>
      <c r="L281" s="25">
        <v>7.13</v>
      </c>
      <c r="M281" s="33">
        <v>14.5</v>
      </c>
      <c r="N281">
        <v>2.2294999999999998</v>
      </c>
      <c r="O281" s="31">
        <v>119.5</v>
      </c>
      <c r="P281" s="38">
        <v>48.682609999999997</v>
      </c>
      <c r="Q281" s="22">
        <v>-0.359948104218</v>
      </c>
      <c r="R281" s="38"/>
      <c r="T281" s="2"/>
      <c r="U281" s="2"/>
      <c r="V281" s="24"/>
      <c r="W281" s="24"/>
      <c r="X281" s="24"/>
      <c r="Y281" s="24"/>
      <c r="Z281" s="24"/>
      <c r="AA281" s="24"/>
      <c r="AB281" s="24"/>
      <c r="AC281" s="25"/>
      <c r="AD281" s="25"/>
      <c r="AE281" s="25"/>
      <c r="AF281" s="25"/>
      <c r="AH281" s="16"/>
      <c r="AI281" s="25"/>
      <c r="AJ281" s="25"/>
      <c r="AL281" s="9"/>
      <c r="AM281" s="22"/>
      <c r="AN281" s="9"/>
      <c r="AP281" s="9"/>
      <c r="AQ281" s="9"/>
      <c r="AS281" s="31"/>
    </row>
    <row r="282" spans="1:45">
      <c r="A282" s="13">
        <v>25628</v>
      </c>
      <c r="B282" s="3">
        <v>37.792900000000003</v>
      </c>
      <c r="C282" s="24">
        <v>78863</v>
      </c>
      <c r="D282" s="24">
        <v>71453</v>
      </c>
      <c r="E282" s="2">
        <v>4.4000000000000004</v>
      </c>
      <c r="F282" s="33">
        <v>2.8059999999999999E-3</v>
      </c>
      <c r="G282" s="33">
        <v>1.4530000000000001E-3</v>
      </c>
      <c r="H282" s="25">
        <v>7.84</v>
      </c>
      <c r="I282" s="25">
        <v>8.6300000000000008</v>
      </c>
      <c r="J282" s="25">
        <v>7.76</v>
      </c>
      <c r="K282" s="33"/>
      <c r="L282" s="25">
        <v>6.63</v>
      </c>
      <c r="M282" s="33">
        <v>14.5</v>
      </c>
      <c r="N282">
        <v>-8.2845999999999993</v>
      </c>
      <c r="O282" s="31">
        <v>118.7</v>
      </c>
      <c r="P282" s="38">
        <v>60.46416</v>
      </c>
      <c r="Q282" s="22">
        <v>-0.13950094574300001</v>
      </c>
      <c r="R282" s="38"/>
      <c r="T282" s="2"/>
      <c r="U282" s="2"/>
      <c r="V282" s="24"/>
      <c r="W282" s="24"/>
      <c r="X282" s="24"/>
      <c r="Y282" s="24"/>
      <c r="Z282" s="24"/>
      <c r="AA282" s="24"/>
      <c r="AB282" s="24"/>
      <c r="AC282" s="25"/>
      <c r="AD282" s="25"/>
      <c r="AE282" s="25"/>
      <c r="AF282" s="25"/>
      <c r="AH282" s="16"/>
      <c r="AI282" s="25"/>
      <c r="AJ282" s="25"/>
      <c r="AL282" s="9"/>
      <c r="AM282" s="22"/>
      <c r="AN282" s="9"/>
      <c r="AP282" s="9"/>
      <c r="AQ282" s="9"/>
      <c r="AS282" s="9"/>
    </row>
    <row r="283" spans="1:45">
      <c r="A283" s="13">
        <v>25659</v>
      </c>
      <c r="B283" s="3">
        <v>37.695700000000002</v>
      </c>
      <c r="C283" s="24">
        <v>78930</v>
      </c>
      <c r="D283" s="24">
        <v>71348</v>
      </c>
      <c r="E283" s="2">
        <v>4.5999999999999996</v>
      </c>
      <c r="F283" s="33">
        <v>-8.8830999999999993E-2</v>
      </c>
      <c r="G283" s="33">
        <v>-9.0482999999999994E-2</v>
      </c>
      <c r="H283" s="25">
        <v>7.83</v>
      </c>
      <c r="I283" s="25">
        <v>8.6999999999999993</v>
      </c>
      <c r="J283" s="25">
        <v>8.1</v>
      </c>
      <c r="K283" s="33"/>
      <c r="L283" s="25">
        <v>6.51</v>
      </c>
      <c r="M283" s="33">
        <v>14.5</v>
      </c>
      <c r="N283">
        <v>4.7088000000000001</v>
      </c>
      <c r="O283" s="31">
        <v>118.2</v>
      </c>
      <c r="P283" s="38">
        <v>65.765479999999997</v>
      </c>
      <c r="Q283" s="22">
        <v>-0.144678147388</v>
      </c>
      <c r="R283" s="38"/>
      <c r="T283" s="2"/>
      <c r="U283" s="2"/>
      <c r="V283" s="24"/>
      <c r="W283" s="24"/>
      <c r="X283" s="24"/>
      <c r="Y283" s="24"/>
      <c r="Z283" s="24"/>
      <c r="AA283" s="24"/>
      <c r="AB283" s="24"/>
      <c r="AC283" s="25"/>
      <c r="AD283" s="25"/>
      <c r="AE283" s="25"/>
      <c r="AF283" s="25"/>
      <c r="AH283" s="16"/>
      <c r="AI283" s="25"/>
      <c r="AJ283" s="25"/>
      <c r="AL283" s="9"/>
      <c r="AM283" s="22"/>
      <c r="AN283" s="9"/>
      <c r="AP283" s="9"/>
      <c r="AQ283" s="9"/>
      <c r="AS283" s="31"/>
    </row>
    <row r="284" spans="1:45">
      <c r="A284" s="13">
        <v>25689</v>
      </c>
      <c r="B284" s="3">
        <v>37.651800000000001</v>
      </c>
      <c r="C284" s="24">
        <v>78564</v>
      </c>
      <c r="D284" s="24">
        <v>71122</v>
      </c>
      <c r="E284" s="2">
        <v>4.8</v>
      </c>
      <c r="F284" s="33">
        <v>-5.4689000000000002E-2</v>
      </c>
      <c r="G284" s="33">
        <v>-6.0967E-2</v>
      </c>
      <c r="H284" s="25">
        <v>8.11</v>
      </c>
      <c r="I284" s="25">
        <v>8.98</v>
      </c>
      <c r="J284" s="25">
        <v>7.94</v>
      </c>
      <c r="K284" s="33"/>
      <c r="L284" s="25">
        <v>6.84</v>
      </c>
      <c r="M284" s="33">
        <v>14.5</v>
      </c>
      <c r="N284">
        <v>-0.22378000000000001</v>
      </c>
      <c r="O284" s="31">
        <v>117.5</v>
      </c>
      <c r="P284" s="38">
        <v>66.899680000000004</v>
      </c>
      <c r="Q284" s="22">
        <v>0.30013554718500002</v>
      </c>
      <c r="R284" s="38"/>
      <c r="T284" s="2"/>
      <c r="U284" s="2"/>
      <c r="V284" s="24"/>
      <c r="W284" s="24"/>
      <c r="X284" s="24"/>
      <c r="Y284" s="24"/>
      <c r="Z284" s="24"/>
      <c r="AA284" s="24"/>
      <c r="AB284" s="24"/>
      <c r="AC284" s="25"/>
      <c r="AD284" s="25"/>
      <c r="AE284" s="25"/>
      <c r="AF284" s="25"/>
      <c r="AH284" s="16"/>
      <c r="AI284" s="25"/>
      <c r="AJ284" s="25"/>
      <c r="AL284" s="9"/>
      <c r="AM284" s="22"/>
      <c r="AN284" s="9"/>
      <c r="AP284" s="9"/>
      <c r="AQ284" s="9"/>
      <c r="AS284" s="9"/>
    </row>
    <row r="285" spans="1:45">
      <c r="A285" s="13">
        <v>25720</v>
      </c>
      <c r="B285" s="3">
        <v>37.53</v>
      </c>
      <c r="C285" s="24">
        <v>78413</v>
      </c>
      <c r="D285" s="24">
        <v>71028</v>
      </c>
      <c r="E285" s="2">
        <v>4.9000000000000004</v>
      </c>
      <c r="F285" s="33">
        <v>-4.9031999999999999E-2</v>
      </c>
      <c r="G285" s="33">
        <v>-5.0033000000000001E-2</v>
      </c>
      <c r="H285" s="25">
        <v>8.48</v>
      </c>
      <c r="I285" s="25">
        <v>9.25</v>
      </c>
      <c r="J285" s="25">
        <v>7.6</v>
      </c>
      <c r="K285" s="33"/>
      <c r="L285" s="25">
        <v>6.68</v>
      </c>
      <c r="M285" s="33">
        <v>14.5</v>
      </c>
      <c r="N285">
        <v>-0.85255999999999998</v>
      </c>
      <c r="O285" s="31">
        <v>114.8</v>
      </c>
      <c r="P285" s="38">
        <v>70.906419999999997</v>
      </c>
      <c r="Q285" s="22">
        <v>-0.17952342435099999</v>
      </c>
      <c r="R285" s="38"/>
      <c r="T285" s="2"/>
      <c r="U285" s="2"/>
      <c r="V285" s="24"/>
      <c r="W285" s="24"/>
      <c r="X285" s="24"/>
      <c r="Y285" s="24"/>
      <c r="Z285" s="24"/>
      <c r="AA285" s="24"/>
      <c r="AB285" s="24"/>
      <c r="AC285" s="25"/>
      <c r="AD285" s="25"/>
      <c r="AE285" s="25"/>
      <c r="AF285" s="25"/>
      <c r="AH285" s="16"/>
      <c r="AI285" s="25"/>
      <c r="AJ285" s="25"/>
      <c r="AL285" s="9"/>
      <c r="AM285" s="22"/>
      <c r="AN285" s="9"/>
      <c r="AP285" s="9"/>
      <c r="AQ285" s="9"/>
      <c r="AS285" s="31"/>
    </row>
    <row r="286" spans="1:45">
      <c r="A286" s="13">
        <v>25750</v>
      </c>
      <c r="B286" s="3">
        <v>37.622100000000003</v>
      </c>
      <c r="C286" s="24">
        <v>78726</v>
      </c>
      <c r="D286" s="24">
        <v>71055</v>
      </c>
      <c r="E286" s="2">
        <v>5</v>
      </c>
      <c r="F286" s="33">
        <v>7.5523000000000007E-2</v>
      </c>
      <c r="G286" s="33">
        <v>7.3294999999999999E-2</v>
      </c>
      <c r="H286" s="25">
        <v>8.44</v>
      </c>
      <c r="I286" s="25">
        <v>9.4</v>
      </c>
      <c r="J286" s="25">
        <v>7.21</v>
      </c>
      <c r="K286" s="33"/>
      <c r="L286" s="25">
        <v>6.45</v>
      </c>
      <c r="M286" s="33">
        <v>14.3</v>
      </c>
      <c r="N286">
        <v>-1.1372</v>
      </c>
      <c r="O286" s="31">
        <v>112.4</v>
      </c>
      <c r="P286" s="38">
        <v>58.836620000000003</v>
      </c>
      <c r="Q286" s="22">
        <v>-0.24259134725199999</v>
      </c>
      <c r="R286" s="38"/>
      <c r="T286" s="2"/>
      <c r="U286" s="2"/>
      <c r="V286" s="24"/>
      <c r="W286" s="24"/>
      <c r="X286" s="24"/>
      <c r="Y286" s="24"/>
      <c r="Z286" s="24"/>
      <c r="AA286" s="24"/>
      <c r="AB286" s="24"/>
      <c r="AC286" s="25"/>
      <c r="AD286" s="25"/>
      <c r="AE286" s="25"/>
      <c r="AF286" s="25"/>
      <c r="AH286" s="16"/>
      <c r="AI286" s="25"/>
      <c r="AJ286" s="25"/>
      <c r="AL286" s="9"/>
      <c r="AM286" s="22"/>
      <c r="AN286" s="9"/>
      <c r="AP286" s="9"/>
      <c r="AQ286" s="9"/>
      <c r="AS286" s="9"/>
    </row>
    <row r="287" spans="1:45">
      <c r="A287" s="13">
        <v>25781</v>
      </c>
      <c r="B287" s="3">
        <v>37.555100000000003</v>
      </c>
      <c r="C287" s="24">
        <v>78624</v>
      </c>
      <c r="D287" s="24">
        <v>70932</v>
      </c>
      <c r="E287" s="2">
        <v>5.0999999999999996</v>
      </c>
      <c r="F287" s="33">
        <v>4.9778000000000003E-2</v>
      </c>
      <c r="G287" s="33">
        <v>4.4458999999999999E-2</v>
      </c>
      <c r="H287" s="25">
        <v>8.1300000000000008</v>
      </c>
      <c r="I287" s="25">
        <v>9.44</v>
      </c>
      <c r="J287" s="25">
        <v>6.61</v>
      </c>
      <c r="K287" s="33"/>
      <c r="L287" s="25">
        <v>6.41</v>
      </c>
      <c r="M287" s="33">
        <v>14.3</v>
      </c>
      <c r="N287">
        <v>-3.0310999999999999</v>
      </c>
      <c r="O287" s="31">
        <v>111.2</v>
      </c>
      <c r="P287" s="38">
        <v>49.674689999999998</v>
      </c>
      <c r="Q287" s="22">
        <v>-0.48256485230899998</v>
      </c>
      <c r="R287" s="38"/>
      <c r="T287" s="2"/>
      <c r="U287" s="2"/>
      <c r="V287" s="24"/>
      <c r="W287" s="24"/>
      <c r="X287" s="24"/>
      <c r="Y287" s="24"/>
      <c r="Z287" s="24"/>
      <c r="AA287" s="24"/>
      <c r="AB287" s="24"/>
      <c r="AC287" s="25"/>
      <c r="AD287" s="25"/>
      <c r="AE287" s="25"/>
      <c r="AF287" s="25"/>
      <c r="AH287" s="16"/>
      <c r="AI287" s="25"/>
      <c r="AJ287" s="25"/>
      <c r="AL287" s="9"/>
      <c r="AM287" s="22"/>
      <c r="AN287" s="9"/>
      <c r="AP287" s="9"/>
      <c r="AQ287" s="9"/>
      <c r="AS287" s="31"/>
    </row>
    <row r="288" spans="1:45">
      <c r="A288" s="13">
        <v>25812</v>
      </c>
      <c r="B288" s="3">
        <v>37.296199999999999</v>
      </c>
      <c r="C288" s="24">
        <v>78498</v>
      </c>
      <c r="D288" s="24">
        <v>70949</v>
      </c>
      <c r="E288" s="2">
        <v>5.4</v>
      </c>
      <c r="F288" s="33">
        <v>3.4701999999999997E-2</v>
      </c>
      <c r="G288" s="33">
        <v>3.2998E-2</v>
      </c>
      <c r="H288" s="25">
        <v>8.09</v>
      </c>
      <c r="I288" s="25">
        <v>9.39</v>
      </c>
      <c r="J288" s="25">
        <v>6.29</v>
      </c>
      <c r="K288" s="33"/>
      <c r="L288" s="25">
        <v>6.12</v>
      </c>
      <c r="M288" s="33">
        <v>14.3</v>
      </c>
      <c r="N288">
        <v>-0.83018999999999998</v>
      </c>
      <c r="O288" s="31">
        <v>110.5</v>
      </c>
      <c r="P288" s="38">
        <v>84.736959999999996</v>
      </c>
      <c r="Q288" s="22">
        <v>-0.27240918153100002</v>
      </c>
      <c r="R288" s="38"/>
      <c r="T288" s="2"/>
      <c r="U288" s="2"/>
      <c r="V288" s="24"/>
      <c r="W288" s="24"/>
      <c r="X288" s="24"/>
      <c r="Y288" s="24"/>
      <c r="Z288" s="24"/>
      <c r="AA288" s="24"/>
      <c r="AB288" s="24"/>
      <c r="AC288" s="25"/>
      <c r="AD288" s="25"/>
      <c r="AE288" s="25"/>
      <c r="AF288" s="25"/>
      <c r="AH288" s="16"/>
      <c r="AI288" s="25"/>
      <c r="AJ288" s="25"/>
      <c r="AL288" s="9"/>
      <c r="AM288" s="22"/>
      <c r="AN288" s="9"/>
      <c r="AP288" s="9"/>
      <c r="AQ288" s="9"/>
      <c r="AS288" s="9"/>
    </row>
    <row r="289" spans="1:45">
      <c r="A289" s="13">
        <v>25842</v>
      </c>
      <c r="B289" s="3">
        <v>36.5501</v>
      </c>
      <c r="C289" s="24">
        <v>78685</v>
      </c>
      <c r="D289" s="24">
        <v>70519</v>
      </c>
      <c r="E289" s="2">
        <v>5.5</v>
      </c>
      <c r="F289" s="33">
        <v>-9.0320000000000001E-3</v>
      </c>
      <c r="G289" s="33">
        <v>-1.14E-2</v>
      </c>
      <c r="H289" s="25">
        <v>8.0299999999999994</v>
      </c>
      <c r="I289" s="25">
        <v>9.33</v>
      </c>
      <c r="J289" s="25">
        <v>6.2</v>
      </c>
      <c r="K289" s="33"/>
      <c r="L289" s="25">
        <v>5.91</v>
      </c>
      <c r="M289" s="33">
        <v>14.3</v>
      </c>
      <c r="N289">
        <v>0.99556999999999995</v>
      </c>
      <c r="O289" s="31">
        <v>109.5</v>
      </c>
      <c r="P289" s="38">
        <v>59.40972</v>
      </c>
      <c r="Q289" s="22">
        <v>-8.8998760880000007E-3</v>
      </c>
      <c r="R289" s="38"/>
      <c r="T289" s="2"/>
      <c r="U289" s="2"/>
      <c r="V289" s="24"/>
      <c r="W289" s="24"/>
      <c r="X289" s="24"/>
      <c r="Y289" s="24"/>
      <c r="Z289" s="24"/>
      <c r="AA289" s="24"/>
      <c r="AB289" s="24"/>
      <c r="AC289" s="25"/>
      <c r="AD289" s="25"/>
      <c r="AE289" s="25"/>
      <c r="AF289" s="25"/>
      <c r="AH289" s="16"/>
      <c r="AI289" s="25"/>
      <c r="AJ289" s="25"/>
      <c r="AL289" s="9"/>
      <c r="AM289" s="22"/>
      <c r="AN289" s="9"/>
      <c r="AP289" s="9"/>
      <c r="AQ289" s="9"/>
      <c r="AS289" s="31"/>
    </row>
    <row r="290" spans="1:45">
      <c r="A290" s="13">
        <v>25873</v>
      </c>
      <c r="B290" s="3">
        <v>36.328699999999998</v>
      </c>
      <c r="C290" s="24">
        <v>78650</v>
      </c>
      <c r="D290" s="24">
        <v>70409</v>
      </c>
      <c r="E290" s="2">
        <v>5.9</v>
      </c>
      <c r="F290" s="33">
        <v>5.4386999999999998E-2</v>
      </c>
      <c r="G290" s="33">
        <v>4.7447000000000003E-2</v>
      </c>
      <c r="H290" s="25">
        <v>8.0500000000000007</v>
      </c>
      <c r="I290" s="25">
        <v>9.3800000000000008</v>
      </c>
      <c r="J290" s="25">
        <v>5.6</v>
      </c>
      <c r="K290" s="33"/>
      <c r="L290" s="25">
        <v>5.28</v>
      </c>
      <c r="M290" s="33">
        <v>14.3</v>
      </c>
      <c r="N290">
        <v>-2.5794000000000001</v>
      </c>
      <c r="O290" s="31">
        <v>108.8</v>
      </c>
      <c r="P290" s="38">
        <v>80.685730000000007</v>
      </c>
      <c r="Q290" s="22">
        <v>-0.34616827330400002</v>
      </c>
      <c r="R290" s="38"/>
      <c r="T290" s="2"/>
      <c r="U290" s="2"/>
      <c r="V290" s="24"/>
      <c r="W290" s="24"/>
      <c r="X290" s="24"/>
      <c r="Y290" s="24"/>
      <c r="Z290" s="24"/>
      <c r="AA290" s="24"/>
      <c r="AB290" s="24"/>
      <c r="AC290" s="25"/>
      <c r="AD290" s="25"/>
      <c r="AE290" s="25"/>
      <c r="AF290" s="25"/>
      <c r="AH290" s="16"/>
      <c r="AI290" s="25"/>
      <c r="AJ290" s="25"/>
      <c r="AL290" s="9"/>
      <c r="AM290" s="22"/>
      <c r="AN290" s="9"/>
      <c r="AP290" s="9"/>
      <c r="AQ290" s="9"/>
      <c r="AS290" s="9"/>
    </row>
    <row r="291" spans="1:45">
      <c r="A291" s="13">
        <v>25903</v>
      </c>
      <c r="B291" s="3">
        <v>37.162999999999997</v>
      </c>
      <c r="C291" s="24">
        <v>78594</v>
      </c>
      <c r="D291" s="24">
        <v>70790</v>
      </c>
      <c r="E291" s="2">
        <v>6.1</v>
      </c>
      <c r="F291" s="33">
        <v>5.8684E-2</v>
      </c>
      <c r="G291" s="33">
        <v>5.6765999999999997E-2</v>
      </c>
      <c r="H291" s="25">
        <v>7.64</v>
      </c>
      <c r="I291" s="25">
        <v>9.1199999999999992</v>
      </c>
      <c r="J291" s="25">
        <v>4.9000000000000004</v>
      </c>
      <c r="K291" s="33"/>
      <c r="L291" s="25">
        <v>4.87</v>
      </c>
      <c r="M291" s="33">
        <v>15.4</v>
      </c>
      <c r="N291">
        <v>-2.8380000000000001</v>
      </c>
      <c r="O291" s="31">
        <v>106.4</v>
      </c>
      <c r="P291" s="38">
        <v>107.7863</v>
      </c>
      <c r="Q291" s="22">
        <v>-0.228955198878</v>
      </c>
      <c r="R291" s="38"/>
      <c r="T291" s="2"/>
      <c r="U291" s="2"/>
      <c r="V291" s="24"/>
      <c r="W291" s="24"/>
      <c r="X291" s="24"/>
      <c r="Y291" s="24"/>
      <c r="Z291" s="24"/>
      <c r="AA291" s="24"/>
      <c r="AB291" s="24"/>
      <c r="AC291" s="25"/>
      <c r="AD291" s="25"/>
      <c r="AE291" s="25"/>
      <c r="AF291" s="25"/>
      <c r="AH291" s="16"/>
      <c r="AI291" s="25"/>
      <c r="AJ291" s="25"/>
      <c r="AL291" s="9"/>
      <c r="AM291" s="22"/>
      <c r="AN291" s="9"/>
      <c r="AP291" s="9"/>
      <c r="AQ291" s="9"/>
      <c r="AS291" s="31"/>
    </row>
    <row r="292" spans="1:45">
      <c r="A292" s="13">
        <v>25934</v>
      </c>
      <c r="B292" s="3">
        <v>37.448900000000002</v>
      </c>
      <c r="C292" s="24">
        <v>78864</v>
      </c>
      <c r="D292" s="24">
        <v>70866</v>
      </c>
      <c r="E292" s="2">
        <v>5.9</v>
      </c>
      <c r="F292" s="33">
        <v>4.2827999999999998E-2</v>
      </c>
      <c r="G292" s="33">
        <v>4.0476999999999999E-2</v>
      </c>
      <c r="H292" s="25">
        <v>7.36</v>
      </c>
      <c r="I292" s="25">
        <v>8.74</v>
      </c>
      <c r="J292" s="25">
        <v>4.1399999999999997</v>
      </c>
      <c r="K292" s="25">
        <v>5.92</v>
      </c>
      <c r="L292" s="25">
        <v>4.4400000000000004</v>
      </c>
      <c r="M292" s="33">
        <v>15.6</v>
      </c>
      <c r="N292">
        <v>-3.4066000000000001</v>
      </c>
      <c r="O292" s="31">
        <v>105.9</v>
      </c>
      <c r="P292" s="38">
        <v>76.103999999999999</v>
      </c>
      <c r="Q292" s="22">
        <v>-0.68154003301999999</v>
      </c>
      <c r="R292" s="38"/>
      <c r="T292" s="2"/>
      <c r="U292" s="2"/>
      <c r="V292" s="24"/>
      <c r="W292" s="24"/>
      <c r="X292" s="24"/>
      <c r="Y292" s="24"/>
      <c r="Z292" s="24"/>
      <c r="AA292" s="24"/>
      <c r="AB292" s="24"/>
      <c r="AC292" s="25"/>
      <c r="AD292" s="25"/>
      <c r="AE292" s="25"/>
      <c r="AF292" s="25"/>
      <c r="AG292" s="25"/>
      <c r="AH292" s="16"/>
      <c r="AI292" s="25"/>
      <c r="AJ292" s="25"/>
      <c r="AL292" s="9"/>
      <c r="AM292" s="22"/>
      <c r="AN292" s="9"/>
      <c r="AP292" s="9"/>
      <c r="AQ292" s="9"/>
      <c r="AS292" s="9"/>
    </row>
    <row r="293" spans="1:45">
      <c r="A293" s="13">
        <v>25965</v>
      </c>
      <c r="B293" s="3">
        <v>37.377499999999998</v>
      </c>
      <c r="C293" s="24">
        <v>78700</v>
      </c>
      <c r="D293" s="24">
        <v>70805</v>
      </c>
      <c r="E293" s="2">
        <v>5.9</v>
      </c>
      <c r="F293" s="33">
        <v>1.3317000000000001E-2</v>
      </c>
      <c r="G293" s="33">
        <v>9.0740000000000005E-3</v>
      </c>
      <c r="H293" s="25">
        <v>7.08</v>
      </c>
      <c r="I293" s="25">
        <v>8.39</v>
      </c>
      <c r="J293" s="25">
        <v>3.72</v>
      </c>
      <c r="K293" s="25">
        <v>5.54</v>
      </c>
      <c r="L293" s="25">
        <v>3.7</v>
      </c>
      <c r="M293" s="33">
        <v>15.6</v>
      </c>
      <c r="N293">
        <v>-2.2934000000000001</v>
      </c>
      <c r="O293" s="31">
        <v>107.2</v>
      </c>
      <c r="P293" s="38">
        <v>69.635220000000004</v>
      </c>
      <c r="Q293" s="22">
        <v>-2.4914804358E-2</v>
      </c>
      <c r="R293" s="38"/>
      <c r="T293" s="2"/>
      <c r="U293" s="2"/>
      <c r="V293" s="24"/>
      <c r="W293" s="24"/>
      <c r="X293" s="24"/>
      <c r="Y293" s="24"/>
      <c r="Z293" s="24"/>
      <c r="AA293" s="24"/>
      <c r="AB293" s="24"/>
      <c r="AC293" s="25"/>
      <c r="AD293" s="25"/>
      <c r="AE293" s="25"/>
      <c r="AF293" s="25"/>
      <c r="AG293" s="25"/>
      <c r="AH293" s="16"/>
      <c r="AI293" s="25"/>
      <c r="AJ293" s="25"/>
      <c r="AL293" s="9"/>
      <c r="AM293" s="22"/>
      <c r="AN293" s="9"/>
      <c r="AP293" s="9"/>
      <c r="AQ293" s="9"/>
      <c r="AS293" s="31"/>
    </row>
    <row r="294" spans="1:45">
      <c r="A294" s="13">
        <v>25993</v>
      </c>
      <c r="B294" s="3">
        <v>37.337000000000003</v>
      </c>
      <c r="C294" s="24">
        <v>78588</v>
      </c>
      <c r="D294" s="24">
        <v>70859</v>
      </c>
      <c r="E294" s="2">
        <v>6</v>
      </c>
      <c r="F294" s="33">
        <v>3.9067999999999999E-2</v>
      </c>
      <c r="G294" s="33">
        <v>3.6796000000000002E-2</v>
      </c>
      <c r="H294" s="25">
        <v>7.21</v>
      </c>
      <c r="I294" s="25">
        <v>8.4600000000000009</v>
      </c>
      <c r="J294" s="25">
        <v>3.71</v>
      </c>
      <c r="K294" s="25">
        <v>5.1100000000000003</v>
      </c>
      <c r="L294" s="25">
        <v>3.38</v>
      </c>
      <c r="M294" s="33">
        <v>15.6</v>
      </c>
      <c r="N294">
        <v>-9.7378000000000006E-2</v>
      </c>
      <c r="O294" s="31">
        <v>107.8</v>
      </c>
      <c r="P294" s="38">
        <v>64.550780000000003</v>
      </c>
      <c r="Q294" s="22">
        <v>-6.5340602353000002E-2</v>
      </c>
      <c r="R294" s="38"/>
      <c r="T294" s="2"/>
      <c r="U294" s="2"/>
      <c r="V294" s="24"/>
      <c r="W294" s="24"/>
      <c r="X294" s="24"/>
      <c r="Y294" s="24"/>
      <c r="Z294" s="24"/>
      <c r="AA294" s="24"/>
      <c r="AB294" s="24"/>
      <c r="AC294" s="25"/>
      <c r="AD294" s="25"/>
      <c r="AE294" s="25"/>
      <c r="AF294" s="25"/>
      <c r="AG294" s="25"/>
      <c r="AH294" s="16"/>
      <c r="AI294" s="25"/>
      <c r="AJ294" s="25"/>
      <c r="AL294" s="9"/>
      <c r="AM294" s="22"/>
      <c r="AN294" s="9"/>
      <c r="AP294" s="9"/>
      <c r="AQ294" s="9"/>
      <c r="AS294" s="9"/>
    </row>
    <row r="295" spans="1:45">
      <c r="A295" s="13">
        <v>26024</v>
      </c>
      <c r="B295" s="3">
        <v>37.546700000000001</v>
      </c>
      <c r="C295" s="24">
        <v>78987</v>
      </c>
      <c r="D295" s="24">
        <v>71037</v>
      </c>
      <c r="E295" s="2">
        <v>5.9</v>
      </c>
      <c r="F295" s="33">
        <v>3.6964999999999998E-2</v>
      </c>
      <c r="G295" s="33">
        <v>3.6288000000000001E-2</v>
      </c>
      <c r="H295" s="25">
        <v>7.25</v>
      </c>
      <c r="I295" s="25">
        <v>8.4499999999999993</v>
      </c>
      <c r="J295" s="25">
        <v>4.1500000000000004</v>
      </c>
      <c r="K295" s="25">
        <v>5.92</v>
      </c>
      <c r="L295" s="25">
        <v>3.86</v>
      </c>
      <c r="M295" s="33">
        <v>15.6</v>
      </c>
      <c r="N295">
        <v>2.6211000000000002</v>
      </c>
      <c r="O295" s="31">
        <v>110.2</v>
      </c>
      <c r="P295" s="38">
        <v>56.528590000000001</v>
      </c>
      <c r="Q295" s="22">
        <v>0.460579851451</v>
      </c>
      <c r="R295" s="38"/>
      <c r="T295" s="2"/>
      <c r="U295" s="2"/>
      <c r="V295" s="24"/>
      <c r="W295" s="24"/>
      <c r="X295" s="24"/>
      <c r="Y295" s="24"/>
      <c r="Z295" s="24"/>
      <c r="AA295" s="24"/>
      <c r="AB295" s="24"/>
      <c r="AC295" s="25"/>
      <c r="AD295" s="25"/>
      <c r="AE295" s="25"/>
      <c r="AF295" s="25"/>
      <c r="AG295" s="25"/>
      <c r="AH295" s="16"/>
      <c r="AI295" s="25"/>
      <c r="AJ295" s="25"/>
      <c r="AL295" s="9"/>
      <c r="AM295" s="22"/>
      <c r="AN295" s="9"/>
      <c r="AP295" s="9"/>
      <c r="AQ295" s="9"/>
      <c r="AS295" s="31"/>
    </row>
    <row r="296" spans="1:45">
      <c r="A296" s="13">
        <v>26054</v>
      </c>
      <c r="B296" s="3">
        <v>37.737200000000001</v>
      </c>
      <c r="C296" s="24">
        <v>79139</v>
      </c>
      <c r="D296" s="24">
        <v>71247</v>
      </c>
      <c r="E296" s="2">
        <v>5.9</v>
      </c>
      <c r="F296" s="33">
        <v>-3.7150000000000002E-2</v>
      </c>
      <c r="G296" s="33">
        <v>-4.1557999999999998E-2</v>
      </c>
      <c r="H296" s="25">
        <v>7.53</v>
      </c>
      <c r="I296" s="25">
        <v>8.6199999999999992</v>
      </c>
      <c r="J296" s="25">
        <v>4.63</v>
      </c>
      <c r="K296" s="25">
        <v>7.04</v>
      </c>
      <c r="L296" s="25">
        <v>4.1399999999999997</v>
      </c>
      <c r="M296" s="33">
        <v>15.6</v>
      </c>
      <c r="N296">
        <v>2.3064</v>
      </c>
      <c r="O296" s="31">
        <v>108.6</v>
      </c>
      <c r="P296" s="38">
        <v>60.798369999999998</v>
      </c>
      <c r="Q296" s="22">
        <v>2.55522478E-3</v>
      </c>
      <c r="R296" s="38"/>
      <c r="T296" s="2"/>
      <c r="U296" s="2"/>
      <c r="V296" s="24"/>
      <c r="W296" s="24"/>
      <c r="X296" s="24"/>
      <c r="Y296" s="24"/>
      <c r="Z296" s="24"/>
      <c r="AA296" s="24"/>
      <c r="AB296" s="24"/>
      <c r="AC296" s="25"/>
      <c r="AD296" s="25"/>
      <c r="AE296" s="25"/>
      <c r="AF296" s="25"/>
      <c r="AG296" s="25"/>
      <c r="AH296" s="16"/>
      <c r="AI296" s="25"/>
      <c r="AJ296" s="25"/>
      <c r="AL296" s="9"/>
      <c r="AM296" s="22"/>
      <c r="AN296" s="9"/>
      <c r="AP296" s="9"/>
      <c r="AQ296" s="9"/>
      <c r="AS296" s="9"/>
    </row>
    <row r="297" spans="1:45">
      <c r="A297" s="13">
        <v>26085</v>
      </c>
      <c r="B297" s="3">
        <v>37.895499999999998</v>
      </c>
      <c r="C297" s="24">
        <v>78757</v>
      </c>
      <c r="D297" s="24">
        <v>71253</v>
      </c>
      <c r="E297" s="2">
        <v>5.9</v>
      </c>
      <c r="F297" s="33">
        <v>2.4390000000000002E-3</v>
      </c>
      <c r="G297" s="33">
        <v>7.0299999999999996E-4</v>
      </c>
      <c r="H297" s="25">
        <v>7.64</v>
      </c>
      <c r="I297" s="25">
        <v>8.75</v>
      </c>
      <c r="J297" s="25">
        <v>4.91</v>
      </c>
      <c r="K297" s="25">
        <v>7.15</v>
      </c>
      <c r="L297" s="25">
        <v>4.75</v>
      </c>
      <c r="M297" s="33">
        <v>15.6</v>
      </c>
      <c r="N297">
        <v>1.0431999999999999</v>
      </c>
      <c r="O297" s="31">
        <v>106.1</v>
      </c>
      <c r="P297" s="38">
        <v>91.318259999999995</v>
      </c>
      <c r="Q297" s="22">
        <v>0.34296372233700001</v>
      </c>
      <c r="R297" s="38"/>
      <c r="T297" s="2"/>
      <c r="U297" s="2"/>
      <c r="V297" s="24"/>
      <c r="W297" s="24"/>
      <c r="X297" s="24"/>
      <c r="Y297" s="24"/>
      <c r="Z297" s="24"/>
      <c r="AA297" s="24"/>
      <c r="AB297" s="24"/>
      <c r="AC297" s="25"/>
      <c r="AD297" s="25"/>
      <c r="AE297" s="25"/>
      <c r="AF297" s="25"/>
      <c r="AG297" s="25"/>
      <c r="AH297" s="16"/>
      <c r="AI297" s="25"/>
      <c r="AJ297" s="25"/>
      <c r="AL297" s="9"/>
      <c r="AM297" s="22"/>
      <c r="AN297" s="9"/>
      <c r="AP297" s="9"/>
      <c r="AQ297" s="9"/>
      <c r="AS297" s="31"/>
    </row>
    <row r="298" spans="1:45">
      <c r="A298" s="13">
        <v>26115</v>
      </c>
      <c r="B298" s="3">
        <v>37.785499999999999</v>
      </c>
      <c r="C298" s="24">
        <v>79305</v>
      </c>
      <c r="D298" s="24">
        <v>71316</v>
      </c>
      <c r="E298" s="2">
        <v>6</v>
      </c>
      <c r="F298" s="33">
        <v>-4.0827000000000002E-2</v>
      </c>
      <c r="G298" s="33">
        <v>-4.1324E-2</v>
      </c>
      <c r="H298" s="25">
        <v>7.64</v>
      </c>
      <c r="I298" s="25">
        <v>8.76</v>
      </c>
      <c r="J298" s="25">
        <v>5.31</v>
      </c>
      <c r="K298" s="25">
        <v>6.45</v>
      </c>
      <c r="L298" s="25">
        <v>5.4</v>
      </c>
      <c r="M298" s="33">
        <v>15.6</v>
      </c>
      <c r="N298">
        <v>1.7810999999999999</v>
      </c>
      <c r="O298" s="31">
        <v>104.7</v>
      </c>
      <c r="P298" s="38">
        <v>97.624179999999996</v>
      </c>
      <c r="Q298" s="22">
        <v>-0.117032651367</v>
      </c>
      <c r="R298" s="38"/>
      <c r="T298" s="2"/>
      <c r="U298" s="2"/>
      <c r="V298" s="24"/>
      <c r="W298" s="24"/>
      <c r="X298" s="24"/>
      <c r="Y298" s="24"/>
      <c r="Z298" s="24"/>
      <c r="AA298" s="24"/>
      <c r="AB298" s="24"/>
      <c r="AC298" s="25"/>
      <c r="AD298" s="25"/>
      <c r="AE298" s="25"/>
      <c r="AF298" s="25"/>
      <c r="AG298" s="25"/>
      <c r="AH298" s="16"/>
      <c r="AI298" s="25"/>
      <c r="AJ298" s="25"/>
      <c r="AL298" s="9"/>
      <c r="AM298" s="22"/>
      <c r="AN298" s="9"/>
      <c r="AP298" s="9"/>
      <c r="AQ298" s="9"/>
      <c r="AS298" s="9"/>
    </row>
    <row r="299" spans="1:45">
      <c r="A299" s="13">
        <v>26146</v>
      </c>
      <c r="B299" s="3">
        <v>37.566200000000002</v>
      </c>
      <c r="C299" s="24">
        <v>79539</v>
      </c>
      <c r="D299" s="24">
        <v>71368</v>
      </c>
      <c r="E299" s="2">
        <v>6.1</v>
      </c>
      <c r="F299" s="33">
        <v>4.2035999999999997E-2</v>
      </c>
      <c r="G299" s="33">
        <v>3.6095000000000002E-2</v>
      </c>
      <c r="H299" s="25">
        <v>7.59</v>
      </c>
      <c r="I299" s="25">
        <v>8.76</v>
      </c>
      <c r="J299" s="25">
        <v>5.56</v>
      </c>
      <c r="K299" s="25">
        <v>8.0299999999999994</v>
      </c>
      <c r="L299" s="25">
        <v>4.9400000000000004</v>
      </c>
      <c r="M299" s="33">
        <v>15.6</v>
      </c>
      <c r="N299">
        <v>1.5822000000000001</v>
      </c>
      <c r="O299" s="31">
        <v>106.1</v>
      </c>
      <c r="P299" s="38">
        <v>145.4229</v>
      </c>
      <c r="Q299" s="22">
        <v>0</v>
      </c>
      <c r="R299" s="38"/>
      <c r="T299" s="2"/>
      <c r="U299" s="2"/>
      <c r="V299" s="24"/>
      <c r="W299" s="24"/>
      <c r="X299" s="24"/>
      <c r="Y299" s="24"/>
      <c r="Z299" s="24"/>
      <c r="AA299" s="24"/>
      <c r="AB299" s="24"/>
      <c r="AC299" s="25"/>
      <c r="AD299" s="25"/>
      <c r="AE299" s="25"/>
      <c r="AF299" s="25"/>
      <c r="AG299" s="25"/>
      <c r="AH299" s="16"/>
      <c r="AI299" s="25"/>
      <c r="AJ299" s="25"/>
      <c r="AL299" s="9"/>
      <c r="AM299" s="22"/>
      <c r="AN299" s="9"/>
      <c r="AP299" s="9"/>
      <c r="AQ299" s="9"/>
      <c r="AS299" s="31"/>
    </row>
    <row r="300" spans="1:45">
      <c r="A300" s="13">
        <v>26177</v>
      </c>
      <c r="B300" s="3">
        <v>38.176699999999997</v>
      </c>
      <c r="C300" s="24">
        <v>79689</v>
      </c>
      <c r="D300" s="24">
        <v>71620</v>
      </c>
      <c r="E300" s="2">
        <v>6</v>
      </c>
      <c r="F300" s="33">
        <v>-5.0379999999999999E-3</v>
      </c>
      <c r="G300" s="33">
        <v>-6.9680000000000002E-3</v>
      </c>
      <c r="H300" s="25">
        <v>7.44</v>
      </c>
      <c r="I300" s="25">
        <v>8.59</v>
      </c>
      <c r="J300" s="25">
        <v>5.55</v>
      </c>
      <c r="K300" s="25">
        <v>8.32</v>
      </c>
      <c r="L300" s="25">
        <v>4.6900000000000004</v>
      </c>
      <c r="M300" s="33">
        <v>15.6</v>
      </c>
      <c r="N300">
        <v>-6.4972000000000002E-2</v>
      </c>
      <c r="O300" s="31">
        <v>107.5</v>
      </c>
      <c r="P300" s="38">
        <v>78.391450000000006</v>
      </c>
      <c r="Q300" s="22">
        <v>0</v>
      </c>
      <c r="R300" s="38"/>
      <c r="T300" s="2"/>
      <c r="U300" s="2"/>
      <c r="V300" s="24"/>
      <c r="W300" s="24"/>
      <c r="X300" s="24"/>
      <c r="Y300" s="24"/>
      <c r="Z300" s="24"/>
      <c r="AA300" s="24"/>
      <c r="AB300" s="24"/>
      <c r="AC300" s="25"/>
      <c r="AD300" s="25"/>
      <c r="AE300" s="25"/>
      <c r="AF300" s="25"/>
      <c r="AG300" s="25"/>
      <c r="AH300" s="16"/>
      <c r="AI300" s="25"/>
      <c r="AJ300" s="25"/>
      <c r="AL300" s="9"/>
      <c r="AM300" s="22"/>
      <c r="AN300" s="9"/>
      <c r="AP300" s="9"/>
      <c r="AQ300" s="9"/>
      <c r="AS300" s="9"/>
    </row>
    <row r="301" spans="1:45">
      <c r="A301" s="13">
        <v>26207</v>
      </c>
      <c r="B301" s="3">
        <v>38.462499999999999</v>
      </c>
      <c r="C301" s="24">
        <v>79918</v>
      </c>
      <c r="D301" s="24">
        <v>71642</v>
      </c>
      <c r="E301" s="2">
        <v>5.8</v>
      </c>
      <c r="F301" s="33">
        <v>-4.0128999999999998E-2</v>
      </c>
      <c r="G301" s="33">
        <v>-4.1793999999999998E-2</v>
      </c>
      <c r="H301" s="25">
        <v>7.39</v>
      </c>
      <c r="I301" s="25">
        <v>8.48</v>
      </c>
      <c r="J301" s="25">
        <v>5.2</v>
      </c>
      <c r="K301" s="25">
        <v>6.61</v>
      </c>
      <c r="L301" s="25">
        <v>4.46</v>
      </c>
      <c r="M301" s="33">
        <v>15.6</v>
      </c>
      <c r="N301">
        <v>-1.3591</v>
      </c>
      <c r="O301" s="31">
        <v>107.4</v>
      </c>
      <c r="P301" s="38">
        <v>91.457350000000005</v>
      </c>
      <c r="Q301" s="22">
        <v>-0.321616714473</v>
      </c>
      <c r="R301" s="38"/>
      <c r="T301" s="2"/>
      <c r="U301" s="2"/>
      <c r="V301" s="24"/>
      <c r="W301" s="24"/>
      <c r="X301" s="24"/>
      <c r="Y301" s="24"/>
      <c r="Z301" s="24"/>
      <c r="AA301" s="24"/>
      <c r="AB301" s="24"/>
      <c r="AC301" s="25"/>
      <c r="AD301" s="25"/>
      <c r="AE301" s="25"/>
      <c r="AF301" s="25"/>
      <c r="AG301" s="25"/>
      <c r="AH301" s="16"/>
      <c r="AI301" s="25"/>
      <c r="AJ301" s="25"/>
      <c r="AL301" s="9"/>
      <c r="AM301" s="22"/>
      <c r="AN301" s="9"/>
      <c r="AP301" s="9"/>
      <c r="AQ301" s="9"/>
      <c r="AS301" s="31"/>
    </row>
    <row r="302" spans="1:45">
      <c r="A302" s="13">
        <v>26238</v>
      </c>
      <c r="B302" s="3">
        <v>38.625700000000002</v>
      </c>
      <c r="C302" s="24">
        <v>80297</v>
      </c>
      <c r="D302" s="24">
        <v>71844</v>
      </c>
      <c r="E302" s="2">
        <v>6</v>
      </c>
      <c r="F302" s="33">
        <v>2.898E-3</v>
      </c>
      <c r="G302" s="33">
        <v>-2.5469999999999998E-3</v>
      </c>
      <c r="H302" s="25">
        <v>7.26</v>
      </c>
      <c r="I302" s="25">
        <v>8.3800000000000008</v>
      </c>
      <c r="J302" s="25">
        <v>4.91</v>
      </c>
      <c r="K302" s="25">
        <v>6.29</v>
      </c>
      <c r="L302" s="25">
        <v>4.22</v>
      </c>
      <c r="M302" s="33">
        <v>15.6</v>
      </c>
      <c r="N302">
        <v>-0.80415000000000003</v>
      </c>
      <c r="O302" s="31">
        <v>106.9</v>
      </c>
      <c r="P302" s="38">
        <v>180.55860000000001</v>
      </c>
      <c r="Q302" s="22">
        <v>-0.34161517430400001</v>
      </c>
      <c r="R302" s="38"/>
      <c r="T302" s="2"/>
      <c r="U302" s="2"/>
      <c r="V302" s="24"/>
      <c r="W302" s="24"/>
      <c r="X302" s="24"/>
      <c r="Y302" s="24"/>
      <c r="Z302" s="24"/>
      <c r="AA302" s="24"/>
      <c r="AB302" s="24"/>
      <c r="AC302" s="25"/>
      <c r="AD302" s="25"/>
      <c r="AE302" s="25"/>
      <c r="AF302" s="25"/>
      <c r="AG302" s="25"/>
      <c r="AH302" s="16"/>
      <c r="AI302" s="25"/>
      <c r="AJ302" s="25"/>
      <c r="AL302" s="9"/>
      <c r="AM302" s="22"/>
      <c r="AN302" s="9"/>
      <c r="AP302" s="9"/>
      <c r="AQ302" s="9"/>
      <c r="AS302" s="9"/>
    </row>
    <row r="303" spans="1:45">
      <c r="A303" s="13">
        <v>26268</v>
      </c>
      <c r="B303" s="3">
        <v>39.0717</v>
      </c>
      <c r="C303" s="24">
        <v>80471</v>
      </c>
      <c r="D303" s="24">
        <v>72108</v>
      </c>
      <c r="E303" s="2">
        <v>6</v>
      </c>
      <c r="F303" s="33">
        <v>8.788E-2</v>
      </c>
      <c r="G303" s="33">
        <v>8.6179000000000006E-2</v>
      </c>
      <c r="H303" s="25">
        <v>7.25</v>
      </c>
      <c r="I303" s="25">
        <v>8.3800000000000008</v>
      </c>
      <c r="J303" s="25">
        <v>4.1399999999999997</v>
      </c>
      <c r="K303" s="25">
        <v>6.75</v>
      </c>
      <c r="L303" s="25">
        <v>4.01</v>
      </c>
      <c r="M303" s="33">
        <v>15.6</v>
      </c>
      <c r="N303">
        <v>-3.6080999999999999</v>
      </c>
      <c r="O303" s="31">
        <v>106.8</v>
      </c>
      <c r="P303" s="38">
        <v>85.72381</v>
      </c>
      <c r="Q303" s="22">
        <v>-0.91993307828000004</v>
      </c>
      <c r="R303" s="38"/>
      <c r="T303" s="2"/>
      <c r="U303" s="2"/>
      <c r="V303" s="24"/>
      <c r="W303" s="24"/>
      <c r="X303" s="24"/>
      <c r="Y303" s="24"/>
      <c r="Z303" s="24"/>
      <c r="AA303" s="24"/>
      <c r="AB303" s="24"/>
      <c r="AC303" s="25"/>
      <c r="AD303" s="25"/>
      <c r="AE303" s="25"/>
      <c r="AF303" s="25"/>
      <c r="AG303" s="25"/>
      <c r="AH303" s="16"/>
      <c r="AI303" s="25"/>
      <c r="AJ303" s="25"/>
      <c r="AL303" s="9"/>
      <c r="AM303" s="22"/>
      <c r="AN303" s="9"/>
      <c r="AP303" s="9"/>
      <c r="AQ303" s="9"/>
      <c r="AS303" s="31"/>
    </row>
    <row r="304" spans="1:45">
      <c r="A304" s="13">
        <v>26299</v>
      </c>
      <c r="B304" s="3">
        <v>40.011699999999998</v>
      </c>
      <c r="C304" s="24">
        <v>80959</v>
      </c>
      <c r="D304" s="24">
        <v>72445</v>
      </c>
      <c r="E304" s="2">
        <v>5.8</v>
      </c>
      <c r="F304" s="33">
        <v>1.9088000000000001E-2</v>
      </c>
      <c r="G304" s="33">
        <v>1.8121000000000002E-2</v>
      </c>
      <c r="H304" s="25">
        <v>7.19</v>
      </c>
      <c r="I304" s="25">
        <v>8.23</v>
      </c>
      <c r="J304" s="25">
        <v>3.5</v>
      </c>
      <c r="K304" s="25">
        <v>5.37</v>
      </c>
      <c r="L304" s="25">
        <v>3.38</v>
      </c>
      <c r="M304" s="33">
        <v>15.4</v>
      </c>
      <c r="N304">
        <v>-3.5278</v>
      </c>
      <c r="O304" s="31">
        <v>110.7</v>
      </c>
      <c r="P304" s="38">
        <v>94.404070000000004</v>
      </c>
      <c r="Q304" s="22">
        <v>-0.234178188521</v>
      </c>
      <c r="R304" s="38"/>
      <c r="T304" s="2"/>
      <c r="U304" s="2"/>
      <c r="V304" s="24"/>
      <c r="W304" s="24"/>
      <c r="X304" s="24"/>
      <c r="Y304" s="24"/>
      <c r="Z304" s="24"/>
      <c r="AA304" s="24"/>
      <c r="AB304" s="24"/>
      <c r="AC304" s="25"/>
      <c r="AD304" s="25"/>
      <c r="AE304" s="25"/>
      <c r="AF304" s="25"/>
      <c r="AG304" s="25"/>
      <c r="AH304" s="16"/>
      <c r="AI304" s="25"/>
      <c r="AJ304" s="25"/>
      <c r="AL304" s="9"/>
      <c r="AM304" s="22"/>
      <c r="AN304" s="9"/>
      <c r="AP304" s="9"/>
      <c r="AQ304" s="9"/>
      <c r="AS304" s="9"/>
    </row>
    <row r="305" spans="1:45">
      <c r="A305" s="13">
        <v>26330</v>
      </c>
      <c r="B305" s="3">
        <v>40.386299999999999</v>
      </c>
      <c r="C305" s="24">
        <v>81108</v>
      </c>
      <c r="D305" s="24">
        <v>72652</v>
      </c>
      <c r="E305" s="2">
        <v>5.7</v>
      </c>
      <c r="F305" s="33">
        <v>3.0221000000000001E-2</v>
      </c>
      <c r="G305" s="33">
        <v>2.5302999999999999E-2</v>
      </c>
      <c r="H305" s="25">
        <v>7.27</v>
      </c>
      <c r="I305" s="25">
        <v>8.23</v>
      </c>
      <c r="J305" s="25">
        <v>3.29</v>
      </c>
      <c r="K305" s="25">
        <v>5.0199999999999996</v>
      </c>
      <c r="L305" s="25">
        <v>3.2</v>
      </c>
      <c r="M305" s="33">
        <v>15.4</v>
      </c>
      <c r="N305">
        <v>-1.79</v>
      </c>
      <c r="O305" s="31">
        <v>113</v>
      </c>
      <c r="P305" s="38">
        <v>67.527879999999996</v>
      </c>
      <c r="Q305" s="22">
        <v>-8.5532531994999994E-2</v>
      </c>
      <c r="R305" s="38"/>
      <c r="T305" s="2"/>
      <c r="U305" s="2"/>
      <c r="V305" s="24"/>
      <c r="W305" s="24"/>
      <c r="X305" s="24"/>
      <c r="Y305" s="24"/>
      <c r="Z305" s="24"/>
      <c r="AA305" s="24"/>
      <c r="AB305" s="24"/>
      <c r="AC305" s="25"/>
      <c r="AD305" s="25"/>
      <c r="AE305" s="25"/>
      <c r="AF305" s="25"/>
      <c r="AG305" s="25"/>
      <c r="AH305" s="16"/>
      <c r="AI305" s="25"/>
      <c r="AJ305" s="25"/>
      <c r="AL305" s="9"/>
      <c r="AM305" s="22"/>
      <c r="AN305" s="9"/>
      <c r="AP305" s="9"/>
      <c r="AQ305" s="9"/>
      <c r="AS305" s="31"/>
    </row>
    <row r="306" spans="1:45">
      <c r="A306" s="13">
        <v>26359</v>
      </c>
      <c r="B306" s="3">
        <v>40.693199999999997</v>
      </c>
      <c r="C306" s="24">
        <v>81573</v>
      </c>
      <c r="D306" s="24">
        <v>72945</v>
      </c>
      <c r="E306" s="2">
        <v>5.8</v>
      </c>
      <c r="F306" s="33">
        <v>7.3150000000000003E-3</v>
      </c>
      <c r="G306" s="33">
        <v>5.9119999999999997E-3</v>
      </c>
      <c r="H306" s="25">
        <v>7.24</v>
      </c>
      <c r="I306" s="25">
        <v>8.24</v>
      </c>
      <c r="J306" s="25">
        <v>3.83</v>
      </c>
      <c r="K306" s="25">
        <v>5.3</v>
      </c>
      <c r="L306" s="25">
        <v>3.73</v>
      </c>
      <c r="M306" s="33">
        <v>15.4</v>
      </c>
      <c r="N306">
        <v>2.4319000000000002</v>
      </c>
      <c r="O306" s="31">
        <v>117.2</v>
      </c>
      <c r="P306" s="38">
        <v>71.965999999999994</v>
      </c>
      <c r="Q306" s="22">
        <v>0.25152344536799998</v>
      </c>
      <c r="R306" s="38"/>
      <c r="T306" s="2"/>
      <c r="U306" s="2"/>
      <c r="V306" s="24"/>
      <c r="W306" s="24"/>
      <c r="X306" s="24"/>
      <c r="Y306" s="24"/>
      <c r="Z306" s="24"/>
      <c r="AA306" s="24"/>
      <c r="AB306" s="24"/>
      <c r="AC306" s="25"/>
      <c r="AD306" s="25"/>
      <c r="AE306" s="25"/>
      <c r="AF306" s="25"/>
      <c r="AG306" s="25"/>
      <c r="AH306" s="16"/>
      <c r="AI306" s="25"/>
      <c r="AJ306" s="25"/>
      <c r="AL306" s="9"/>
      <c r="AM306" s="22"/>
      <c r="AN306" s="9"/>
      <c r="AP306" s="9"/>
      <c r="AQ306" s="9"/>
      <c r="AS306" s="9"/>
    </row>
    <row r="307" spans="1:45">
      <c r="A307" s="13">
        <v>26390</v>
      </c>
      <c r="B307" s="3">
        <v>41.112099999999998</v>
      </c>
      <c r="C307" s="24">
        <v>81655</v>
      </c>
      <c r="D307" s="24">
        <v>73163</v>
      </c>
      <c r="E307" s="2">
        <v>5.7</v>
      </c>
      <c r="F307" s="33">
        <v>5.476E-3</v>
      </c>
      <c r="G307" s="33">
        <v>4.3839999999999999E-3</v>
      </c>
      <c r="H307" s="25">
        <v>7.3</v>
      </c>
      <c r="I307" s="25">
        <v>8.24</v>
      </c>
      <c r="J307" s="25">
        <v>4.17</v>
      </c>
      <c r="K307" s="25">
        <v>5.24</v>
      </c>
      <c r="L307" s="25">
        <v>3.71</v>
      </c>
      <c r="M307" s="33">
        <v>15.4</v>
      </c>
      <c r="N307">
        <v>0.44497999999999999</v>
      </c>
      <c r="O307" s="31">
        <v>119.5</v>
      </c>
      <c r="P307" s="38">
        <v>66.944730000000007</v>
      </c>
      <c r="Q307" s="22">
        <v>-0.104209811357</v>
      </c>
      <c r="R307" s="38"/>
      <c r="T307" s="2"/>
      <c r="U307" s="2"/>
      <c r="V307" s="24"/>
      <c r="W307" s="24"/>
      <c r="X307" s="24"/>
      <c r="Y307" s="24"/>
      <c r="Z307" s="24"/>
      <c r="AA307" s="24"/>
      <c r="AB307" s="24"/>
      <c r="AC307" s="25"/>
      <c r="AD307" s="25"/>
      <c r="AE307" s="25"/>
      <c r="AF307" s="25"/>
      <c r="AG307" s="25"/>
      <c r="AH307" s="16"/>
      <c r="AI307" s="25"/>
      <c r="AJ307" s="25"/>
      <c r="AL307" s="9"/>
      <c r="AM307" s="22"/>
      <c r="AN307" s="9"/>
      <c r="AP307" s="9"/>
      <c r="AQ307" s="9"/>
      <c r="AS307" s="31"/>
    </row>
    <row r="308" spans="1:45">
      <c r="A308" s="13">
        <v>26420</v>
      </c>
      <c r="B308" s="3">
        <v>41.095199999999998</v>
      </c>
      <c r="C308" s="24">
        <v>81887</v>
      </c>
      <c r="D308" s="24">
        <v>73467</v>
      </c>
      <c r="E308" s="2">
        <v>5.7</v>
      </c>
      <c r="F308" s="33">
        <v>2.2019E-2</v>
      </c>
      <c r="G308" s="33">
        <v>1.7274999999999999E-2</v>
      </c>
      <c r="H308" s="25">
        <v>7.3</v>
      </c>
      <c r="I308" s="25">
        <v>8.23</v>
      </c>
      <c r="J308" s="25">
        <v>4.2699999999999996</v>
      </c>
      <c r="K308" s="25">
        <v>4.8600000000000003</v>
      </c>
      <c r="L308" s="25">
        <v>3.69</v>
      </c>
      <c r="M308" s="33">
        <v>15.4</v>
      </c>
      <c r="N308">
        <v>-1.8085</v>
      </c>
      <c r="O308" s="31">
        <v>124.3</v>
      </c>
      <c r="P308" s="38">
        <v>69.760660000000001</v>
      </c>
      <c r="Q308" s="22">
        <v>-0.114926070918</v>
      </c>
      <c r="R308" s="38"/>
      <c r="T308" s="2"/>
      <c r="U308" s="2"/>
      <c r="V308" s="24"/>
      <c r="W308" s="24"/>
      <c r="X308" s="24"/>
      <c r="Y308" s="24"/>
      <c r="Z308" s="24"/>
      <c r="AA308" s="24"/>
      <c r="AB308" s="24"/>
      <c r="AC308" s="25"/>
      <c r="AD308" s="25"/>
      <c r="AE308" s="25"/>
      <c r="AF308" s="25"/>
      <c r="AG308" s="25"/>
      <c r="AH308" s="16"/>
      <c r="AI308" s="25"/>
      <c r="AJ308" s="25"/>
      <c r="AL308" s="9"/>
      <c r="AM308" s="22"/>
      <c r="AN308" s="9"/>
      <c r="AP308" s="9"/>
      <c r="AQ308" s="9"/>
      <c r="AS308" s="9"/>
    </row>
    <row r="309" spans="1:45">
      <c r="A309" s="13">
        <v>26451</v>
      </c>
      <c r="B309" s="3">
        <v>41.201099999999997</v>
      </c>
      <c r="C309" s="24">
        <v>82083</v>
      </c>
      <c r="D309" s="24">
        <v>73760</v>
      </c>
      <c r="E309" s="2">
        <v>5.7</v>
      </c>
      <c r="F309" s="33">
        <v>-2.0156E-2</v>
      </c>
      <c r="G309" s="33">
        <v>-2.1821E-2</v>
      </c>
      <c r="H309" s="25">
        <v>7.23</v>
      </c>
      <c r="I309" s="25">
        <v>8.1999999999999993</v>
      </c>
      <c r="J309" s="25">
        <v>4.46</v>
      </c>
      <c r="K309" s="25">
        <v>5.0599999999999996</v>
      </c>
      <c r="L309" s="25">
        <v>3.91</v>
      </c>
      <c r="M309" s="33">
        <v>15.4</v>
      </c>
      <c r="N309">
        <v>-1.4224000000000001</v>
      </c>
      <c r="O309" s="31">
        <v>123.8</v>
      </c>
      <c r="P309" s="38">
        <v>67.055369999999996</v>
      </c>
      <c r="Q309" s="22">
        <v>-4.9854126961999999E-2</v>
      </c>
      <c r="R309" s="38"/>
      <c r="T309" s="2"/>
      <c r="U309" s="2"/>
      <c r="V309" s="24"/>
      <c r="W309" s="24"/>
      <c r="X309" s="24"/>
      <c r="Y309" s="24"/>
      <c r="Z309" s="24"/>
      <c r="AA309" s="24"/>
      <c r="AB309" s="24"/>
      <c r="AC309" s="25"/>
      <c r="AD309" s="25"/>
      <c r="AE309" s="25"/>
      <c r="AF309" s="25"/>
      <c r="AG309" s="25"/>
      <c r="AH309" s="16"/>
      <c r="AI309" s="25"/>
      <c r="AJ309" s="25"/>
      <c r="AL309" s="9"/>
      <c r="AM309" s="22"/>
      <c r="AN309" s="9"/>
      <c r="AP309" s="9"/>
      <c r="AQ309" s="9"/>
      <c r="AS309" s="31"/>
    </row>
    <row r="310" spans="1:45">
      <c r="A310" s="13">
        <v>26481</v>
      </c>
      <c r="B310" s="3">
        <v>41.185699999999997</v>
      </c>
      <c r="C310" s="24">
        <v>82230</v>
      </c>
      <c r="D310" s="24">
        <v>73709</v>
      </c>
      <c r="E310" s="2">
        <v>5.6</v>
      </c>
      <c r="F310" s="33">
        <v>3.2450000000000001E-3</v>
      </c>
      <c r="G310" s="33">
        <v>2.333E-3</v>
      </c>
      <c r="H310" s="25">
        <v>7.21</v>
      </c>
      <c r="I310" s="25">
        <v>8.23</v>
      </c>
      <c r="J310" s="25">
        <v>4.55</v>
      </c>
      <c r="K310" s="25">
        <v>5.57</v>
      </c>
      <c r="L310" s="25">
        <v>3.98</v>
      </c>
      <c r="M310" s="33">
        <v>15.4</v>
      </c>
      <c r="N310">
        <v>-1.6858</v>
      </c>
      <c r="O310" s="31">
        <v>123.7</v>
      </c>
      <c r="P310" s="38">
        <v>76.210859999999997</v>
      </c>
      <c r="Q310" s="22">
        <v>0</v>
      </c>
      <c r="R310" s="38"/>
      <c r="T310" s="2"/>
      <c r="U310" s="2"/>
      <c r="V310" s="24"/>
      <c r="W310" s="24"/>
      <c r="X310" s="24"/>
      <c r="Y310" s="24"/>
      <c r="Z310" s="24"/>
      <c r="AA310" s="24"/>
      <c r="AB310" s="24"/>
      <c r="AC310" s="25"/>
      <c r="AD310" s="25"/>
      <c r="AE310" s="25"/>
      <c r="AF310" s="25"/>
      <c r="AG310" s="25"/>
      <c r="AH310" s="16"/>
      <c r="AI310" s="25"/>
      <c r="AJ310" s="25"/>
      <c r="AL310" s="9"/>
      <c r="AM310" s="22"/>
      <c r="AN310" s="9"/>
      <c r="AP310" s="9"/>
      <c r="AQ310" s="9"/>
      <c r="AS310" s="9"/>
    </row>
    <row r="311" spans="1:45">
      <c r="A311" s="13">
        <v>26512</v>
      </c>
      <c r="B311" s="3">
        <v>41.724299999999999</v>
      </c>
      <c r="C311" s="24">
        <v>82578</v>
      </c>
      <c r="D311" s="24">
        <v>74137</v>
      </c>
      <c r="E311" s="2">
        <v>5.6</v>
      </c>
      <c r="F311" s="33">
        <v>3.9425000000000002E-2</v>
      </c>
      <c r="G311" s="33">
        <v>3.4453999999999999E-2</v>
      </c>
      <c r="H311" s="25">
        <v>7.19</v>
      </c>
      <c r="I311" s="25">
        <v>8.19</v>
      </c>
      <c r="J311" s="25">
        <v>4.8</v>
      </c>
      <c r="K311" s="25">
        <v>5.46</v>
      </c>
      <c r="L311" s="25">
        <v>4.0199999999999996</v>
      </c>
      <c r="M311" s="33">
        <v>15.6</v>
      </c>
      <c r="N311">
        <v>0.72902999999999996</v>
      </c>
      <c r="O311" s="31">
        <v>124.6</v>
      </c>
      <c r="P311" s="38">
        <v>54.979689999999998</v>
      </c>
      <c r="Q311" s="22">
        <v>0</v>
      </c>
      <c r="R311" s="38"/>
      <c r="T311" s="2"/>
      <c r="U311" s="2"/>
      <c r="V311" s="24"/>
      <c r="W311" s="24"/>
      <c r="X311" s="24"/>
      <c r="Y311" s="24"/>
      <c r="Z311" s="24"/>
      <c r="AA311" s="24"/>
      <c r="AB311" s="24"/>
      <c r="AC311" s="25"/>
      <c r="AD311" s="25"/>
      <c r="AE311" s="25"/>
      <c r="AF311" s="25"/>
      <c r="AG311" s="25"/>
      <c r="AH311" s="16"/>
      <c r="AI311" s="25"/>
      <c r="AJ311" s="25"/>
      <c r="AL311" s="9"/>
      <c r="AM311" s="22"/>
      <c r="AN311" s="9"/>
      <c r="AP311" s="9"/>
      <c r="AQ311" s="9"/>
      <c r="AS311" s="31"/>
    </row>
    <row r="312" spans="1:45">
      <c r="A312" s="13">
        <v>26543</v>
      </c>
      <c r="B312" s="3">
        <v>42.042000000000002</v>
      </c>
      <c r="C312" s="24">
        <v>82543</v>
      </c>
      <c r="D312" s="24">
        <v>74268</v>
      </c>
      <c r="E312" s="2">
        <v>5.5</v>
      </c>
      <c r="F312" s="33">
        <v>-3.277E-3</v>
      </c>
      <c r="G312" s="33">
        <v>-4.8609999999999999E-3</v>
      </c>
      <c r="H312" s="25">
        <v>7.22</v>
      </c>
      <c r="I312" s="25">
        <v>8.09</v>
      </c>
      <c r="J312" s="25">
        <v>4.87</v>
      </c>
      <c r="K312" s="25">
        <v>5.42</v>
      </c>
      <c r="L312" s="25">
        <v>4.66</v>
      </c>
      <c r="M312" s="33">
        <v>15.6</v>
      </c>
      <c r="N312">
        <v>-0.45351000000000002</v>
      </c>
      <c r="O312" s="31">
        <v>124.8</v>
      </c>
      <c r="P312" s="38">
        <v>79.039169999999999</v>
      </c>
      <c r="Q312" s="22">
        <v>0</v>
      </c>
      <c r="R312" s="38"/>
      <c r="T312" s="2"/>
      <c r="U312" s="2"/>
      <c r="V312" s="24"/>
      <c r="W312" s="24"/>
      <c r="X312" s="24"/>
      <c r="Y312" s="24"/>
      <c r="Z312" s="24"/>
      <c r="AA312" s="24"/>
      <c r="AB312" s="24"/>
      <c r="AC312" s="25"/>
      <c r="AD312" s="25"/>
      <c r="AE312" s="25"/>
      <c r="AF312" s="25"/>
      <c r="AG312" s="25"/>
      <c r="AH312" s="16"/>
      <c r="AI312" s="25"/>
      <c r="AJ312" s="25"/>
      <c r="AL312" s="9"/>
      <c r="AM312" s="22"/>
      <c r="AN312" s="9"/>
      <c r="AP312" s="9"/>
      <c r="AQ312" s="9"/>
      <c r="AS312" s="9"/>
    </row>
    <row r="313" spans="1:45">
      <c r="A313" s="13">
        <v>26573</v>
      </c>
      <c r="B313" s="3">
        <v>42.613599999999998</v>
      </c>
      <c r="C313" s="24">
        <v>82616</v>
      </c>
      <c r="D313" s="24">
        <v>74672</v>
      </c>
      <c r="E313" s="2">
        <v>5.6</v>
      </c>
      <c r="F313" s="33">
        <v>1.0878000000000001E-2</v>
      </c>
      <c r="G313" s="33">
        <v>9.3170000000000006E-3</v>
      </c>
      <c r="H313" s="25">
        <v>7.21</v>
      </c>
      <c r="I313" s="25">
        <v>8.06</v>
      </c>
      <c r="J313" s="25">
        <v>5.04</v>
      </c>
      <c r="K313" s="25">
        <v>5.98</v>
      </c>
      <c r="L313" s="25">
        <v>4.74</v>
      </c>
      <c r="M313" s="33">
        <v>15.6</v>
      </c>
      <c r="N313">
        <v>0.86706000000000005</v>
      </c>
      <c r="O313" s="31">
        <v>128.1</v>
      </c>
      <c r="P313" s="38">
        <v>63.333559999999999</v>
      </c>
      <c r="Q313" s="22">
        <v>0</v>
      </c>
      <c r="R313" s="38"/>
      <c r="T313" s="2"/>
      <c r="U313" s="2"/>
      <c r="V313" s="24"/>
      <c r="W313" s="24"/>
      <c r="X313" s="24"/>
      <c r="Y313" s="24"/>
      <c r="Z313" s="24"/>
      <c r="AA313" s="24"/>
      <c r="AB313" s="24"/>
      <c r="AC313" s="25"/>
      <c r="AD313" s="25"/>
      <c r="AE313" s="25"/>
      <c r="AF313" s="25"/>
      <c r="AG313" s="25"/>
      <c r="AH313" s="16"/>
      <c r="AI313" s="25"/>
      <c r="AJ313" s="25"/>
      <c r="AL313" s="9"/>
      <c r="AM313" s="22"/>
      <c r="AN313" s="9"/>
      <c r="AP313" s="9"/>
      <c r="AQ313" s="9"/>
      <c r="AS313" s="31"/>
    </row>
    <row r="314" spans="1:45">
      <c r="A314" s="13">
        <v>26604</v>
      </c>
      <c r="B314" s="3">
        <v>43.116599999999998</v>
      </c>
      <c r="C314" s="24">
        <v>82990</v>
      </c>
      <c r="D314" s="24">
        <v>74965</v>
      </c>
      <c r="E314" s="2">
        <v>5.3</v>
      </c>
      <c r="F314" s="33">
        <v>5.0297000000000001E-2</v>
      </c>
      <c r="G314" s="33">
        <v>4.5616999999999998E-2</v>
      </c>
      <c r="H314" s="25">
        <v>7.12</v>
      </c>
      <c r="I314" s="25">
        <v>7.99</v>
      </c>
      <c r="J314" s="25">
        <v>5.0599999999999996</v>
      </c>
      <c r="K314" s="25">
        <v>5.76</v>
      </c>
      <c r="L314" s="25">
        <v>4.78</v>
      </c>
      <c r="M314" s="33">
        <v>15.6</v>
      </c>
      <c r="N314">
        <v>-0.26706999999999997</v>
      </c>
      <c r="O314" s="31">
        <v>131.6</v>
      </c>
      <c r="P314" s="38">
        <v>85.033739999999995</v>
      </c>
      <c r="Q314" s="22">
        <v>3.5804308254000002E-2</v>
      </c>
      <c r="R314" s="38"/>
      <c r="T314" s="2"/>
      <c r="U314" s="2"/>
      <c r="V314" s="24"/>
      <c r="W314" s="24"/>
      <c r="X314" s="24"/>
      <c r="Y314" s="24"/>
      <c r="Z314" s="24"/>
      <c r="AA314" s="24"/>
      <c r="AB314" s="24"/>
      <c r="AC314" s="25"/>
      <c r="AD314" s="25"/>
      <c r="AE314" s="25"/>
      <c r="AF314" s="25"/>
      <c r="AG314" s="25"/>
      <c r="AH314" s="16"/>
      <c r="AI314" s="25"/>
      <c r="AJ314" s="25"/>
      <c r="AL314" s="9"/>
      <c r="AM314" s="22"/>
      <c r="AN314" s="9"/>
      <c r="AP314" s="9"/>
      <c r="AQ314" s="9"/>
      <c r="AS314" s="9"/>
    </row>
    <row r="315" spans="1:45">
      <c r="A315" s="13">
        <v>26634</v>
      </c>
      <c r="B315" s="3">
        <v>43.609000000000002</v>
      </c>
      <c r="C315" s="24">
        <v>83400</v>
      </c>
      <c r="D315" s="24">
        <v>75270</v>
      </c>
      <c r="E315" s="2">
        <v>5.2</v>
      </c>
      <c r="F315" s="33">
        <v>1.3663E-2</v>
      </c>
      <c r="G315" s="33">
        <v>1.1828E-2</v>
      </c>
      <c r="H315" s="25">
        <v>7.08</v>
      </c>
      <c r="I315" s="25">
        <v>7.93</v>
      </c>
      <c r="J315" s="25">
        <v>5.33</v>
      </c>
      <c r="K315" s="25">
        <v>6.05</v>
      </c>
      <c r="L315" s="25">
        <v>5.07</v>
      </c>
      <c r="M315" s="33">
        <v>15.6</v>
      </c>
      <c r="N315">
        <v>0.67476000000000003</v>
      </c>
      <c r="O315" s="31">
        <v>134.80000000000001</v>
      </c>
      <c r="P315" s="38">
        <v>74.866209999999995</v>
      </c>
      <c r="Q315" s="22">
        <v>-2.6534457976999999E-2</v>
      </c>
      <c r="R315" s="38"/>
      <c r="T315" s="2"/>
      <c r="U315" s="2"/>
      <c r="V315" s="24"/>
      <c r="W315" s="24"/>
      <c r="X315" s="24"/>
      <c r="Y315" s="24"/>
      <c r="Z315" s="24"/>
      <c r="AA315" s="24"/>
      <c r="AB315" s="24"/>
      <c r="AC315" s="25"/>
      <c r="AD315" s="25"/>
      <c r="AE315" s="25"/>
      <c r="AF315" s="25"/>
      <c r="AG315" s="25"/>
      <c r="AH315" s="16"/>
      <c r="AI315" s="25"/>
      <c r="AJ315" s="25"/>
      <c r="AL315" s="9"/>
      <c r="AM315" s="22"/>
      <c r="AN315" s="9"/>
      <c r="AP315" s="9"/>
      <c r="AQ315" s="9"/>
      <c r="AS315" s="31"/>
    </row>
    <row r="316" spans="1:45">
      <c r="A316" s="13">
        <v>26665</v>
      </c>
      <c r="B316" s="3">
        <v>43.906700000000001</v>
      </c>
      <c r="C316" s="24">
        <v>83161</v>
      </c>
      <c r="D316" s="24">
        <v>75620</v>
      </c>
      <c r="E316" s="2">
        <v>4.9000000000000004</v>
      </c>
      <c r="F316" s="33">
        <v>-1.6752E-2</v>
      </c>
      <c r="G316" s="33">
        <v>-1.7111000000000001E-2</v>
      </c>
      <c r="H316" s="25">
        <v>7.15</v>
      </c>
      <c r="I316" s="25">
        <v>7.9</v>
      </c>
      <c r="J316" s="25">
        <v>5.94</v>
      </c>
      <c r="K316" s="25">
        <v>6.14</v>
      </c>
      <c r="L316" s="25">
        <v>5.41</v>
      </c>
      <c r="M316" s="33">
        <v>15.6</v>
      </c>
      <c r="N316">
        <v>2.5139999999999998</v>
      </c>
      <c r="O316" s="31">
        <v>139.30000000000001</v>
      </c>
      <c r="P316" s="38">
        <v>106.8989</v>
      </c>
      <c r="Q316" s="22">
        <v>0.279469798692</v>
      </c>
      <c r="R316" s="38">
        <v>8.3787E-2</v>
      </c>
      <c r="T316" s="2"/>
      <c r="U316" s="2"/>
      <c r="V316" s="24"/>
      <c r="W316" s="24"/>
      <c r="X316" s="24"/>
      <c r="Y316" s="24"/>
      <c r="Z316" s="24"/>
      <c r="AA316" s="24"/>
      <c r="AB316" s="24"/>
      <c r="AC316" s="25"/>
      <c r="AD316" s="25"/>
      <c r="AE316" s="25"/>
      <c r="AF316" s="25"/>
      <c r="AG316" s="25"/>
      <c r="AH316" s="16"/>
      <c r="AI316" s="25"/>
      <c r="AJ316" s="25"/>
      <c r="AL316" s="3"/>
      <c r="AM316" s="22"/>
      <c r="AN316" s="9"/>
      <c r="AO316" s="9"/>
      <c r="AP316" s="9"/>
      <c r="AQ316" s="9"/>
      <c r="AS316" s="9"/>
    </row>
    <row r="317" spans="1:45">
      <c r="A317" s="13">
        <v>26696</v>
      </c>
      <c r="B317" s="3">
        <v>44.566299999999998</v>
      </c>
      <c r="C317" s="24">
        <v>83912</v>
      </c>
      <c r="D317" s="24">
        <v>76017</v>
      </c>
      <c r="E317" s="2">
        <v>5</v>
      </c>
      <c r="F317" s="33">
        <v>-3.3818000000000001E-2</v>
      </c>
      <c r="G317" s="33">
        <v>-3.7490000000000002E-2</v>
      </c>
      <c r="H317" s="25">
        <v>7.22</v>
      </c>
      <c r="I317" s="25">
        <v>7.97</v>
      </c>
      <c r="J317" s="25">
        <v>6.58</v>
      </c>
      <c r="K317" s="25">
        <v>7.45</v>
      </c>
      <c r="L317" s="25">
        <v>5.6</v>
      </c>
      <c r="M317" s="33">
        <v>15.6</v>
      </c>
      <c r="N317">
        <v>2.5659000000000001</v>
      </c>
      <c r="O317" s="31">
        <v>147.5</v>
      </c>
      <c r="P317" s="38">
        <v>114.5201</v>
      </c>
      <c r="Q317" s="22">
        <v>0.225360840029</v>
      </c>
      <c r="R317" s="38">
        <v>5.2134E-2</v>
      </c>
      <c r="T317" s="2"/>
      <c r="U317" s="2"/>
      <c r="V317" s="24"/>
      <c r="W317" s="24"/>
      <c r="X317" s="24"/>
      <c r="Y317" s="24"/>
      <c r="Z317" s="24"/>
      <c r="AA317" s="24"/>
      <c r="AB317" s="24"/>
      <c r="AC317" s="25"/>
      <c r="AD317" s="25"/>
      <c r="AE317" s="25"/>
      <c r="AF317" s="25"/>
      <c r="AG317" s="25"/>
      <c r="AH317" s="16"/>
      <c r="AI317" s="25"/>
      <c r="AJ317" s="25"/>
      <c r="AL317" s="3"/>
      <c r="AM317" s="22"/>
      <c r="AN317" s="9"/>
      <c r="AO317" s="9"/>
      <c r="AP317" s="9"/>
      <c r="AQ317" s="9"/>
      <c r="AS317" s="31"/>
    </row>
    <row r="318" spans="1:45">
      <c r="A318" s="13">
        <v>26724</v>
      </c>
      <c r="B318" s="3">
        <v>44.5794</v>
      </c>
      <c r="C318" s="24">
        <v>84452</v>
      </c>
      <c r="D318" s="24">
        <v>76286</v>
      </c>
      <c r="E318" s="2">
        <v>4.9000000000000004</v>
      </c>
      <c r="F318" s="33">
        <v>-1.093E-3</v>
      </c>
      <c r="G318" s="33">
        <v>-1.433E-3</v>
      </c>
      <c r="H318" s="25">
        <v>7.29</v>
      </c>
      <c r="I318" s="25">
        <v>8.0299999999999994</v>
      </c>
      <c r="J318" s="25">
        <v>7.09</v>
      </c>
      <c r="K318" s="25">
        <v>8.52</v>
      </c>
      <c r="L318" s="25">
        <v>6.09</v>
      </c>
      <c r="M318" s="33">
        <v>15.7</v>
      </c>
      <c r="N318">
        <v>0.98655000000000004</v>
      </c>
      <c r="O318" s="31">
        <v>155.30000000000001</v>
      </c>
      <c r="P318" s="38">
        <v>115.54940000000001</v>
      </c>
      <c r="Q318" s="22">
        <v>6.4438209735000002E-2</v>
      </c>
      <c r="R318" s="38">
        <v>-5.2325000000000003E-2</v>
      </c>
      <c r="T318" s="2"/>
      <c r="U318" s="2"/>
      <c r="V318" s="24"/>
      <c r="W318" s="24"/>
      <c r="X318" s="24"/>
      <c r="Y318" s="24"/>
      <c r="Z318" s="24"/>
      <c r="AA318" s="24"/>
      <c r="AB318" s="24"/>
      <c r="AC318" s="25"/>
      <c r="AD318" s="25"/>
      <c r="AE318" s="25"/>
      <c r="AF318" s="25"/>
      <c r="AG318" s="25"/>
      <c r="AH318" s="16"/>
      <c r="AI318" s="25"/>
      <c r="AJ318" s="25"/>
      <c r="AL318" s="3"/>
      <c r="AM318" s="22"/>
      <c r="AN318" s="9"/>
      <c r="AO318" s="9"/>
      <c r="AP318" s="9"/>
      <c r="AQ318" s="9"/>
      <c r="AS318" s="9"/>
    </row>
    <row r="319" spans="1:45">
      <c r="A319" s="13">
        <v>26755</v>
      </c>
      <c r="B319" s="3">
        <v>44.504800000000003</v>
      </c>
      <c r="C319" s="24">
        <v>84559</v>
      </c>
      <c r="D319" s="24">
        <v>76456</v>
      </c>
      <c r="E319" s="2">
        <v>5</v>
      </c>
      <c r="F319" s="33">
        <v>-4.0064000000000002E-2</v>
      </c>
      <c r="G319" s="33">
        <v>-4.0800000000000003E-2</v>
      </c>
      <c r="H319" s="25">
        <v>7.26</v>
      </c>
      <c r="I319" s="25">
        <v>8.09</v>
      </c>
      <c r="J319" s="25">
        <v>7.12</v>
      </c>
      <c r="K319" s="25">
        <v>8.14</v>
      </c>
      <c r="L319" s="25">
        <v>6.26</v>
      </c>
      <c r="M319" s="33">
        <v>16</v>
      </c>
      <c r="N319">
        <v>-3.5939000000000001</v>
      </c>
      <c r="O319" s="31">
        <v>158.19999999999999</v>
      </c>
      <c r="P319" s="38">
        <v>104.1056</v>
      </c>
      <c r="Q319" s="22">
        <v>-6.2870983574999997E-2</v>
      </c>
      <c r="R319" s="38">
        <v>-0.105488</v>
      </c>
      <c r="T319" s="2"/>
      <c r="U319" s="2"/>
      <c r="V319" s="24"/>
      <c r="W319" s="24"/>
      <c r="X319" s="24"/>
      <c r="Y319" s="24"/>
      <c r="Z319" s="24"/>
      <c r="AA319" s="24"/>
      <c r="AB319" s="24"/>
      <c r="AC319" s="25"/>
      <c r="AD319" s="25"/>
      <c r="AE319" s="25"/>
      <c r="AF319" s="25"/>
      <c r="AG319" s="25"/>
      <c r="AH319" s="16"/>
      <c r="AI319" s="25"/>
      <c r="AJ319" s="25"/>
      <c r="AL319" s="3"/>
      <c r="AM319" s="22"/>
      <c r="AN319" s="9"/>
      <c r="AO319" s="9"/>
      <c r="AP319" s="9"/>
      <c r="AQ319" s="9"/>
      <c r="AS319" s="31"/>
    </row>
    <row r="320" spans="1:45">
      <c r="A320" s="13">
        <v>26785</v>
      </c>
      <c r="B320" s="3">
        <v>44.7958</v>
      </c>
      <c r="C320" s="24">
        <v>84648</v>
      </c>
      <c r="D320" s="24">
        <v>76646</v>
      </c>
      <c r="E320" s="2">
        <v>4.9000000000000004</v>
      </c>
      <c r="F320" s="33">
        <v>-1.3950000000000001E-2</v>
      </c>
      <c r="G320" s="33">
        <v>-1.8884000000000001E-2</v>
      </c>
      <c r="H320" s="25">
        <v>7.29</v>
      </c>
      <c r="I320" s="25">
        <v>8.06</v>
      </c>
      <c r="J320" s="25">
        <v>7.84</v>
      </c>
      <c r="K320" s="25">
        <v>8.4600000000000009</v>
      </c>
      <c r="L320" s="25">
        <v>6.36</v>
      </c>
      <c r="M320" s="33">
        <v>16.600000000000001</v>
      </c>
      <c r="N320">
        <v>2.2418</v>
      </c>
      <c r="O320" s="31">
        <v>162.9</v>
      </c>
      <c r="P320" s="38">
        <v>99.897630000000007</v>
      </c>
      <c r="Q320" s="22">
        <v>0.316968397688</v>
      </c>
      <c r="R320" s="38">
        <v>-1.5976000000000001E-2</v>
      </c>
      <c r="T320" s="2"/>
      <c r="U320" s="2"/>
      <c r="V320" s="24"/>
      <c r="W320" s="24"/>
      <c r="X320" s="24"/>
      <c r="Y320" s="24"/>
      <c r="Z320" s="24"/>
      <c r="AA320" s="24"/>
      <c r="AB320" s="24"/>
      <c r="AC320" s="25"/>
      <c r="AD320" s="25"/>
      <c r="AE320" s="25"/>
      <c r="AF320" s="25"/>
      <c r="AG320" s="25"/>
      <c r="AH320" s="16"/>
      <c r="AI320" s="25"/>
      <c r="AJ320" s="25"/>
      <c r="AL320" s="3"/>
      <c r="AM320" s="22"/>
      <c r="AN320" s="9"/>
      <c r="AO320" s="9"/>
      <c r="AP320" s="9"/>
      <c r="AQ320" s="9"/>
      <c r="AS320" s="9"/>
    </row>
    <row r="321" spans="1:45">
      <c r="A321" s="13">
        <v>26816</v>
      </c>
      <c r="B321" s="3">
        <v>44.8142</v>
      </c>
      <c r="C321" s="24">
        <v>85185</v>
      </c>
      <c r="D321" s="24">
        <v>76886</v>
      </c>
      <c r="E321" s="2">
        <v>4.9000000000000004</v>
      </c>
      <c r="F321" s="33">
        <v>-5.1780000000000003E-3</v>
      </c>
      <c r="G321" s="33">
        <v>-6.5750000000000001E-3</v>
      </c>
      <c r="H321" s="25">
        <v>7.37</v>
      </c>
      <c r="I321" s="25">
        <v>8.1300000000000008</v>
      </c>
      <c r="J321" s="25">
        <v>8.49</v>
      </c>
      <c r="K321" s="25">
        <v>8.81</v>
      </c>
      <c r="L321" s="25">
        <v>7.19</v>
      </c>
      <c r="M321" s="33">
        <v>17.100000000000001</v>
      </c>
      <c r="N321">
        <v>1.4888999999999999</v>
      </c>
      <c r="O321" s="31">
        <v>170.1</v>
      </c>
      <c r="P321" s="38">
        <v>128.28319999999999</v>
      </c>
      <c r="Q321" s="22">
        <v>0.40937235138700001</v>
      </c>
      <c r="R321" s="38">
        <v>5.7216000000000003E-2</v>
      </c>
      <c r="T321" s="2"/>
      <c r="U321" s="2"/>
      <c r="V321" s="24"/>
      <c r="W321" s="24"/>
      <c r="X321" s="24"/>
      <c r="Y321" s="24"/>
      <c r="Z321" s="24"/>
      <c r="AA321" s="24"/>
      <c r="AB321" s="24"/>
      <c r="AC321" s="25"/>
      <c r="AD321" s="25"/>
      <c r="AE321" s="25"/>
      <c r="AF321" s="25"/>
      <c r="AG321" s="25"/>
      <c r="AH321" s="16"/>
      <c r="AI321" s="25"/>
      <c r="AJ321" s="25"/>
      <c r="AL321" s="3"/>
      <c r="AM321" s="22"/>
      <c r="AN321" s="9"/>
      <c r="AO321" s="9"/>
      <c r="AP321" s="9"/>
      <c r="AQ321" s="9"/>
      <c r="AS321" s="31"/>
    </row>
    <row r="322" spans="1:45">
      <c r="A322" s="13">
        <v>26846</v>
      </c>
      <c r="B322" s="3">
        <v>45.005200000000002</v>
      </c>
      <c r="C322" s="24">
        <v>85299</v>
      </c>
      <c r="D322" s="24">
        <v>76911</v>
      </c>
      <c r="E322" s="2">
        <v>4.8</v>
      </c>
      <c r="F322" s="33">
        <v>3.9128000000000003E-2</v>
      </c>
      <c r="G322" s="33">
        <v>3.7982000000000002E-2</v>
      </c>
      <c r="H322" s="25">
        <v>7.45</v>
      </c>
      <c r="I322" s="25">
        <v>8.24</v>
      </c>
      <c r="J322" s="25">
        <v>10.4</v>
      </c>
      <c r="K322" s="25">
        <v>10.36</v>
      </c>
      <c r="L322" s="25">
        <v>8.01</v>
      </c>
      <c r="M322" s="33">
        <v>17.2</v>
      </c>
      <c r="N322">
        <v>11.521000000000001</v>
      </c>
      <c r="O322" s="31">
        <v>178.1</v>
      </c>
      <c r="P322" s="38">
        <v>116.0167</v>
      </c>
      <c r="Q322" s="22">
        <v>0.115145981163</v>
      </c>
      <c r="R322" s="38">
        <v>-0.36788599999999999</v>
      </c>
      <c r="T322" s="2"/>
      <c r="U322" s="2"/>
      <c r="V322" s="24"/>
      <c r="W322" s="24"/>
      <c r="X322" s="24"/>
      <c r="Y322" s="24"/>
      <c r="Z322" s="24"/>
      <c r="AA322" s="24"/>
      <c r="AB322" s="24"/>
      <c r="AC322" s="25"/>
      <c r="AD322" s="25"/>
      <c r="AE322" s="25"/>
      <c r="AF322" s="25"/>
      <c r="AG322" s="25"/>
      <c r="AH322" s="16"/>
      <c r="AI322" s="25"/>
      <c r="AJ322" s="25"/>
      <c r="AL322" s="3"/>
      <c r="AM322" s="22"/>
      <c r="AN322" s="9"/>
      <c r="AO322" s="9"/>
      <c r="AP322" s="9"/>
      <c r="AQ322" s="9"/>
      <c r="AS322" s="9"/>
    </row>
    <row r="323" spans="1:45">
      <c r="A323" s="13">
        <v>26877</v>
      </c>
      <c r="B323" s="3">
        <v>44.930500000000002</v>
      </c>
      <c r="C323" s="24">
        <v>85204</v>
      </c>
      <c r="D323" s="24">
        <v>77166</v>
      </c>
      <c r="E323" s="2">
        <v>4.8</v>
      </c>
      <c r="F323" s="33">
        <v>-3.1544000000000003E-2</v>
      </c>
      <c r="G323" s="33">
        <v>-3.6685000000000002E-2</v>
      </c>
      <c r="H323" s="25">
        <v>7.68</v>
      </c>
      <c r="I323" s="25">
        <v>8.5299999999999994</v>
      </c>
      <c r="J323" s="25">
        <v>10.5</v>
      </c>
      <c r="K323" s="25">
        <v>11.44</v>
      </c>
      <c r="L323" s="25">
        <v>8.67</v>
      </c>
      <c r="M323" s="33">
        <v>17.2</v>
      </c>
      <c r="N323">
        <v>-2.2216</v>
      </c>
      <c r="O323" s="31">
        <v>189.8</v>
      </c>
      <c r="P323" s="38">
        <v>117.1738</v>
      </c>
      <c r="Q323" s="22">
        <v>0.31761233574499997</v>
      </c>
      <c r="R323" s="38">
        <v>-0.230568</v>
      </c>
      <c r="T323" s="2"/>
      <c r="U323" s="2"/>
      <c r="V323" s="24"/>
      <c r="W323" s="24"/>
      <c r="X323" s="24"/>
      <c r="Y323" s="24"/>
      <c r="Z323" s="24"/>
      <c r="AA323" s="24"/>
      <c r="AB323" s="24"/>
      <c r="AC323" s="25"/>
      <c r="AD323" s="25"/>
      <c r="AE323" s="25"/>
      <c r="AF323" s="25"/>
      <c r="AG323" s="25"/>
      <c r="AH323" s="16"/>
      <c r="AI323" s="25"/>
      <c r="AJ323" s="25"/>
      <c r="AL323" s="3"/>
      <c r="AM323" s="22"/>
      <c r="AN323" s="9"/>
      <c r="AO323" s="9"/>
      <c r="AP323" s="9"/>
      <c r="AQ323" s="9"/>
      <c r="AS323" s="31"/>
    </row>
    <row r="324" spans="1:45">
      <c r="A324" s="13">
        <v>26908</v>
      </c>
      <c r="B324" s="3">
        <v>45.332799999999999</v>
      </c>
      <c r="C324" s="24">
        <v>85488</v>
      </c>
      <c r="D324" s="24">
        <v>77281</v>
      </c>
      <c r="E324" s="2">
        <v>4.8</v>
      </c>
      <c r="F324" s="33">
        <v>4.2219E-2</v>
      </c>
      <c r="G324" s="33">
        <v>4.0096E-2</v>
      </c>
      <c r="H324" s="25">
        <v>7.63</v>
      </c>
      <c r="I324" s="25">
        <v>8.6300000000000008</v>
      </c>
      <c r="J324" s="25">
        <v>10.78</v>
      </c>
      <c r="K324" s="25">
        <v>11.18</v>
      </c>
      <c r="L324" s="25">
        <v>8.2899999999999991</v>
      </c>
      <c r="M324" s="33">
        <v>18.2</v>
      </c>
      <c r="N324">
        <v>0.81535000000000002</v>
      </c>
      <c r="O324" s="31">
        <v>186.3</v>
      </c>
      <c r="P324" s="38">
        <v>77.633179999999996</v>
      </c>
      <c r="Q324" s="22">
        <v>-0.57074652024299999</v>
      </c>
      <c r="R324" s="38">
        <v>-0.32191700000000001</v>
      </c>
      <c r="T324" s="2"/>
      <c r="U324" s="2"/>
      <c r="V324" s="24"/>
      <c r="W324" s="24"/>
      <c r="X324" s="24"/>
      <c r="Y324" s="24"/>
      <c r="Z324" s="24"/>
      <c r="AA324" s="24"/>
      <c r="AB324" s="24"/>
      <c r="AC324" s="25"/>
      <c r="AD324" s="25"/>
      <c r="AE324" s="25"/>
      <c r="AF324" s="25"/>
      <c r="AG324" s="25"/>
      <c r="AH324" s="16"/>
      <c r="AI324" s="25"/>
      <c r="AJ324" s="25"/>
      <c r="AL324" s="3"/>
      <c r="AM324" s="22"/>
      <c r="AN324" s="9"/>
      <c r="AO324" s="9"/>
      <c r="AP324" s="9"/>
      <c r="AQ324" s="9"/>
      <c r="AS324" s="9"/>
    </row>
    <row r="325" spans="1:45">
      <c r="A325" s="13">
        <v>26938</v>
      </c>
      <c r="B325" s="3">
        <v>45.644799999999996</v>
      </c>
      <c r="C325" s="24">
        <v>85987</v>
      </c>
      <c r="D325" s="24">
        <v>77605</v>
      </c>
      <c r="E325" s="2">
        <v>4.5999999999999996</v>
      </c>
      <c r="F325" s="33">
        <v>3.1199999999999999E-4</v>
      </c>
      <c r="G325" s="33">
        <v>-1.291E-3</v>
      </c>
      <c r="H325" s="25">
        <v>7.6</v>
      </c>
      <c r="I325" s="25">
        <v>8.41</v>
      </c>
      <c r="J325" s="25">
        <v>10.01</v>
      </c>
      <c r="K325" s="25">
        <v>9.98</v>
      </c>
      <c r="L325" s="25">
        <v>7.22</v>
      </c>
      <c r="M325" s="33">
        <v>18.2</v>
      </c>
      <c r="N325">
        <v>-6.6782000000000004</v>
      </c>
      <c r="O325" s="31">
        <v>188.1</v>
      </c>
      <c r="P325" s="38">
        <v>97.034909999999996</v>
      </c>
      <c r="Q325" s="22">
        <v>-0.84802678084399996</v>
      </c>
      <c r="R325" s="38">
        <v>0.151507</v>
      </c>
      <c r="T325" s="2"/>
      <c r="U325" s="2"/>
      <c r="V325" s="24"/>
      <c r="W325" s="24"/>
      <c r="X325" s="24"/>
      <c r="Y325" s="24"/>
      <c r="Z325" s="24"/>
      <c r="AA325" s="24"/>
      <c r="AB325" s="24"/>
      <c r="AC325" s="25"/>
      <c r="AD325" s="25"/>
      <c r="AE325" s="25"/>
      <c r="AF325" s="25"/>
      <c r="AG325" s="25"/>
      <c r="AH325" s="16"/>
      <c r="AI325" s="25"/>
      <c r="AJ325" s="25"/>
      <c r="AL325" s="3"/>
      <c r="AM325" s="22"/>
      <c r="AN325" s="9"/>
      <c r="AO325" s="9"/>
      <c r="AP325" s="9"/>
      <c r="AQ325" s="9"/>
      <c r="AS325" s="31"/>
    </row>
    <row r="326" spans="1:45">
      <c r="A326" s="13">
        <v>26969</v>
      </c>
      <c r="B326" s="3">
        <v>45.871299999999998</v>
      </c>
      <c r="C326" s="24">
        <v>86320</v>
      </c>
      <c r="D326" s="24">
        <v>77909</v>
      </c>
      <c r="E326" s="2">
        <v>4.8</v>
      </c>
      <c r="F326" s="33">
        <v>-0.10722</v>
      </c>
      <c r="G326" s="33">
        <v>-0.113861</v>
      </c>
      <c r="H326" s="25">
        <v>7.67</v>
      </c>
      <c r="I326" s="25">
        <v>8.42</v>
      </c>
      <c r="J326" s="25">
        <v>10.029999999999999</v>
      </c>
      <c r="K326" s="25">
        <v>9.86</v>
      </c>
      <c r="L326" s="25">
        <v>7.83</v>
      </c>
      <c r="M326" s="33">
        <v>19</v>
      </c>
      <c r="N326">
        <v>0.49725999999999998</v>
      </c>
      <c r="O326" s="31">
        <v>192.4</v>
      </c>
      <c r="P326" s="38">
        <v>111.5073</v>
      </c>
      <c r="Q326" s="22">
        <v>-9.4972367953E-2</v>
      </c>
      <c r="R326" s="38">
        <v>4.4840999999999999E-2</v>
      </c>
      <c r="T326" s="2"/>
      <c r="U326" s="2"/>
      <c r="V326" s="24"/>
      <c r="W326" s="24"/>
      <c r="X326" s="24"/>
      <c r="Y326" s="24"/>
      <c r="Z326" s="24"/>
      <c r="AA326" s="24"/>
      <c r="AB326" s="24"/>
      <c r="AC326" s="25"/>
      <c r="AD326" s="25"/>
      <c r="AE326" s="25"/>
      <c r="AF326" s="25"/>
      <c r="AG326" s="25"/>
      <c r="AH326" s="16"/>
      <c r="AI326" s="25"/>
      <c r="AJ326" s="25"/>
      <c r="AL326" s="3"/>
      <c r="AM326" s="22"/>
      <c r="AN326" s="9"/>
      <c r="AO326" s="9"/>
      <c r="AP326" s="9"/>
      <c r="AQ326" s="9"/>
      <c r="AS326" s="9"/>
    </row>
    <row r="327" spans="1:45">
      <c r="A327" s="13">
        <v>26999</v>
      </c>
      <c r="B327" s="3">
        <v>45.754600000000003</v>
      </c>
      <c r="C327" s="24">
        <v>86401</v>
      </c>
      <c r="D327" s="24">
        <v>78035</v>
      </c>
      <c r="E327" s="2">
        <v>4.9000000000000004</v>
      </c>
      <c r="F327" s="33">
        <v>1.7971000000000001E-2</v>
      </c>
      <c r="G327" s="33">
        <v>1.6569E-2</v>
      </c>
      <c r="H327" s="25">
        <v>7.68</v>
      </c>
      <c r="I327" s="25">
        <v>8.48</v>
      </c>
      <c r="J327" s="25">
        <v>9.9499999999999993</v>
      </c>
      <c r="K327" s="25">
        <v>10.66</v>
      </c>
      <c r="L327" s="25">
        <v>7.45</v>
      </c>
      <c r="M327" s="33">
        <v>19.899999999999999</v>
      </c>
      <c r="N327">
        <v>-0.23057</v>
      </c>
      <c r="O327" s="31">
        <v>208.9</v>
      </c>
      <c r="P327" s="38">
        <v>161.0745</v>
      </c>
      <c r="Q327" s="22">
        <v>-0.165076595544</v>
      </c>
      <c r="R327" s="38">
        <v>-9.325E-3</v>
      </c>
      <c r="T327" s="2"/>
      <c r="U327" s="2"/>
      <c r="V327" s="24"/>
      <c r="W327" s="24"/>
      <c r="X327" s="24"/>
      <c r="Y327" s="24"/>
      <c r="Z327" s="24"/>
      <c r="AA327" s="24"/>
      <c r="AB327" s="24"/>
      <c r="AC327" s="25"/>
      <c r="AD327" s="25"/>
      <c r="AE327" s="25"/>
      <c r="AF327" s="25"/>
      <c r="AG327" s="25"/>
      <c r="AH327" s="16"/>
      <c r="AI327" s="25"/>
      <c r="AJ327" s="25"/>
      <c r="AL327" s="3"/>
      <c r="AM327" s="22"/>
      <c r="AN327" s="9"/>
      <c r="AO327" s="9"/>
      <c r="AP327" s="9"/>
      <c r="AQ327" s="9"/>
      <c r="AS327" s="31"/>
    </row>
    <row r="328" spans="1:45">
      <c r="A328" s="13">
        <v>27030</v>
      </c>
      <c r="B328" s="3">
        <v>45.427999999999997</v>
      </c>
      <c r="C328" s="24">
        <v>86555</v>
      </c>
      <c r="D328" s="24">
        <v>78104</v>
      </c>
      <c r="E328" s="2">
        <v>5.0999999999999996</v>
      </c>
      <c r="F328" s="33">
        <v>-8.1200000000000005E-3</v>
      </c>
      <c r="G328" s="33">
        <v>-1.0045999999999999E-2</v>
      </c>
      <c r="H328" s="25">
        <v>7.83</v>
      </c>
      <c r="I328" s="25">
        <v>8.48</v>
      </c>
      <c r="J328" s="25">
        <v>9.65</v>
      </c>
      <c r="K328" s="25">
        <v>9.3699999999999992</v>
      </c>
      <c r="L328" s="25">
        <v>7.77</v>
      </c>
      <c r="M328" s="33">
        <v>24.3</v>
      </c>
      <c r="N328">
        <v>-1.8007</v>
      </c>
      <c r="O328" s="31">
        <v>215.9</v>
      </c>
      <c r="P328" s="38">
        <v>144.6602</v>
      </c>
      <c r="Q328" s="22">
        <v>-0.20640514429199999</v>
      </c>
      <c r="R328" s="38">
        <v>-4.3365000000000001E-2</v>
      </c>
      <c r="T328" s="2"/>
      <c r="U328" s="2"/>
      <c r="V328" s="24"/>
      <c r="W328" s="24"/>
      <c r="X328" s="24"/>
      <c r="Y328" s="24"/>
      <c r="Z328" s="24"/>
      <c r="AA328" s="24"/>
      <c r="AB328" s="24"/>
      <c r="AC328" s="25"/>
      <c r="AD328" s="25"/>
      <c r="AE328" s="25"/>
      <c r="AF328" s="25"/>
      <c r="AG328" s="25"/>
      <c r="AH328" s="16"/>
      <c r="AI328" s="25"/>
      <c r="AJ328" s="25"/>
      <c r="AL328" s="3"/>
      <c r="AM328" s="22"/>
      <c r="AN328" s="9"/>
      <c r="AO328" s="9"/>
      <c r="AP328" s="9"/>
      <c r="AQ328" s="9"/>
      <c r="AS328" s="9"/>
    </row>
    <row r="329" spans="1:45">
      <c r="A329" s="13">
        <v>27061</v>
      </c>
      <c r="B329" s="3">
        <v>45.294400000000003</v>
      </c>
      <c r="C329" s="24">
        <v>86754</v>
      </c>
      <c r="D329" s="24">
        <v>78253</v>
      </c>
      <c r="E329" s="2">
        <v>5.2</v>
      </c>
      <c r="F329" s="33">
        <v>1.9919999999999998E-3</v>
      </c>
      <c r="G329" s="33">
        <v>-3.6240000000000001E-3</v>
      </c>
      <c r="H329" s="25">
        <v>7.85</v>
      </c>
      <c r="I329" s="25">
        <v>8.5299999999999994</v>
      </c>
      <c r="J329" s="25">
        <v>8.9700000000000006</v>
      </c>
      <c r="K329" s="25">
        <v>8.48</v>
      </c>
      <c r="L329" s="25">
        <v>7.12</v>
      </c>
      <c r="M329" s="33">
        <v>27.5</v>
      </c>
      <c r="N329">
        <v>-4.7039</v>
      </c>
      <c r="O329" s="31">
        <v>232</v>
      </c>
      <c r="P329" s="38">
        <v>143.42400000000001</v>
      </c>
      <c r="Q329" s="22">
        <v>0.20120050952599999</v>
      </c>
      <c r="R329" s="38">
        <v>0.177235</v>
      </c>
      <c r="T329" s="2"/>
      <c r="U329" s="2"/>
      <c r="V329" s="24"/>
      <c r="W329" s="24"/>
      <c r="X329" s="24"/>
      <c r="Y329" s="24"/>
      <c r="Z329" s="24"/>
      <c r="AA329" s="24"/>
      <c r="AB329" s="24"/>
      <c r="AC329" s="25"/>
      <c r="AD329" s="25"/>
      <c r="AE329" s="25"/>
      <c r="AF329" s="25"/>
      <c r="AG329" s="25"/>
      <c r="AH329" s="16"/>
      <c r="AI329" s="25"/>
      <c r="AJ329" s="25"/>
      <c r="AL329" s="3"/>
      <c r="AM329" s="22"/>
      <c r="AN329" s="9"/>
      <c r="AO329" s="9"/>
      <c r="AP329" s="9"/>
      <c r="AQ329" s="9"/>
      <c r="AS329" s="31"/>
    </row>
    <row r="330" spans="1:45">
      <c r="A330" s="13">
        <v>27089</v>
      </c>
      <c r="B330" s="3">
        <v>45.2926</v>
      </c>
      <c r="C330" s="24">
        <v>86819</v>
      </c>
      <c r="D330" s="24">
        <v>78295</v>
      </c>
      <c r="E330" s="2">
        <v>5.0999999999999996</v>
      </c>
      <c r="F330" s="33">
        <v>-2.1818000000000001E-2</v>
      </c>
      <c r="G330" s="33">
        <v>-2.3279999999999999E-2</v>
      </c>
      <c r="H330" s="25">
        <v>8.01</v>
      </c>
      <c r="I330" s="25">
        <v>8.6199999999999992</v>
      </c>
      <c r="J330" s="25">
        <v>9.35</v>
      </c>
      <c r="K330" s="25">
        <v>9.24</v>
      </c>
      <c r="L330" s="25">
        <v>7.96</v>
      </c>
      <c r="M330" s="33">
        <v>27.5</v>
      </c>
      <c r="N330">
        <v>2.0507</v>
      </c>
      <c r="O330" s="31">
        <v>237.2</v>
      </c>
      <c r="P330" s="38">
        <v>106.8916</v>
      </c>
      <c r="Q330" s="22">
        <v>0.73286023823799995</v>
      </c>
      <c r="R330" s="38">
        <v>-0.123033</v>
      </c>
      <c r="T330" s="2"/>
      <c r="U330" s="2"/>
      <c r="V330" s="24"/>
      <c r="W330" s="24"/>
      <c r="X330" s="24"/>
      <c r="Y330" s="24"/>
      <c r="Z330" s="24"/>
      <c r="AA330" s="24"/>
      <c r="AB330" s="24"/>
      <c r="AC330" s="25"/>
      <c r="AD330" s="25"/>
      <c r="AE330" s="25"/>
      <c r="AF330" s="25"/>
      <c r="AG330" s="25"/>
      <c r="AH330" s="16"/>
      <c r="AI330" s="25"/>
      <c r="AJ330" s="25"/>
      <c r="AL330" s="3"/>
      <c r="AM330" s="22"/>
      <c r="AN330" s="9"/>
      <c r="AO330" s="9"/>
      <c r="AP330" s="9"/>
      <c r="AQ330" s="9"/>
      <c r="AS330" s="9"/>
    </row>
    <row r="331" spans="1:45">
      <c r="A331" s="13">
        <v>27120</v>
      </c>
      <c r="B331" s="3">
        <v>45.176200000000001</v>
      </c>
      <c r="C331" s="24">
        <v>86669</v>
      </c>
      <c r="D331" s="24">
        <v>78384</v>
      </c>
      <c r="E331" s="2">
        <v>5.0999999999999996</v>
      </c>
      <c r="F331" s="33">
        <v>-3.7649000000000002E-2</v>
      </c>
      <c r="G331" s="33">
        <v>-3.9051000000000002E-2</v>
      </c>
      <c r="H331" s="25">
        <v>8.25</v>
      </c>
      <c r="I331" s="25">
        <v>8.8699999999999992</v>
      </c>
      <c r="J331" s="25">
        <v>10.51</v>
      </c>
      <c r="K331" s="25">
        <v>10.53</v>
      </c>
      <c r="L331" s="25">
        <v>8.33</v>
      </c>
      <c r="M331" s="33">
        <v>27.5</v>
      </c>
      <c r="N331">
        <v>6.6502999999999997</v>
      </c>
      <c r="O331" s="31">
        <v>238.4</v>
      </c>
      <c r="P331" s="38">
        <v>101.16719999999999</v>
      </c>
      <c r="Q331" s="22">
        <v>0.38679092266199999</v>
      </c>
      <c r="R331" s="38">
        <v>1.8775E-2</v>
      </c>
      <c r="T331" s="2"/>
      <c r="U331" s="2"/>
      <c r="V331" s="24"/>
      <c r="W331" s="24"/>
      <c r="X331" s="24"/>
      <c r="Y331" s="24"/>
      <c r="Z331" s="24"/>
      <c r="AA331" s="24"/>
      <c r="AB331" s="24"/>
      <c r="AC331" s="25"/>
      <c r="AD331" s="25"/>
      <c r="AE331" s="25"/>
      <c r="AF331" s="25"/>
      <c r="AG331" s="25"/>
      <c r="AH331" s="16"/>
      <c r="AI331" s="25"/>
      <c r="AJ331" s="25"/>
      <c r="AL331" s="3"/>
      <c r="AM331" s="22"/>
      <c r="AN331" s="9"/>
      <c r="AO331" s="9"/>
      <c r="AP331" s="9"/>
      <c r="AQ331" s="9"/>
      <c r="AS331" s="31"/>
    </row>
    <row r="332" spans="1:45">
      <c r="A332" s="13">
        <v>27150</v>
      </c>
      <c r="B332" s="3">
        <v>45.501100000000001</v>
      </c>
      <c r="C332" s="24">
        <v>86891</v>
      </c>
      <c r="D332" s="24">
        <v>78547</v>
      </c>
      <c r="E332" s="2">
        <v>5.0999999999999996</v>
      </c>
      <c r="F332" s="33">
        <v>-2.6896E-2</v>
      </c>
      <c r="G332" s="33">
        <v>-3.3550999999999997E-2</v>
      </c>
      <c r="H332" s="25">
        <v>8.3699999999999992</v>
      </c>
      <c r="I332" s="25">
        <v>9.0500000000000007</v>
      </c>
      <c r="J332" s="25">
        <v>11.31</v>
      </c>
      <c r="K332" s="25">
        <v>11.7</v>
      </c>
      <c r="L332" s="25">
        <v>8.23</v>
      </c>
      <c r="M332" s="33">
        <v>27.5</v>
      </c>
      <c r="N332">
        <v>2.7353999999999998</v>
      </c>
      <c r="O332" s="31">
        <v>226.2</v>
      </c>
      <c r="P332" s="38">
        <v>125.15860000000001</v>
      </c>
      <c r="Q332" s="22">
        <v>0.391730702509</v>
      </c>
      <c r="R332" s="38">
        <v>3.7553999999999997E-2</v>
      </c>
      <c r="T332" s="2"/>
      <c r="U332" s="2"/>
      <c r="V332" s="24"/>
      <c r="W332" s="24"/>
      <c r="X332" s="24"/>
      <c r="Y332" s="24"/>
      <c r="Z332" s="24"/>
      <c r="AA332" s="24"/>
      <c r="AB332" s="24"/>
      <c r="AC332" s="25"/>
      <c r="AD332" s="25"/>
      <c r="AE332" s="25"/>
      <c r="AF332" s="25"/>
      <c r="AG332" s="25"/>
      <c r="AH332" s="16"/>
      <c r="AI332" s="25"/>
      <c r="AJ332" s="25"/>
      <c r="AL332" s="3"/>
      <c r="AM332" s="22"/>
      <c r="AN332" s="9"/>
      <c r="AO332" s="9"/>
      <c r="AP332" s="9"/>
      <c r="AQ332" s="9"/>
      <c r="AS332" s="9"/>
    </row>
    <row r="333" spans="1:45">
      <c r="A333" s="13">
        <v>27181</v>
      </c>
      <c r="B333" s="3">
        <v>45.469799999999999</v>
      </c>
      <c r="C333" s="24">
        <v>86941</v>
      </c>
      <c r="D333" s="24">
        <v>78602</v>
      </c>
      <c r="E333" s="2">
        <v>5.4</v>
      </c>
      <c r="F333" s="33">
        <v>-1.2815999999999999E-2</v>
      </c>
      <c r="G333" s="33">
        <v>-1.4664999999999999E-2</v>
      </c>
      <c r="H333" s="25">
        <v>8.4700000000000006</v>
      </c>
      <c r="I333" s="25">
        <v>9.27</v>
      </c>
      <c r="J333" s="25">
        <v>11.93</v>
      </c>
      <c r="K333" s="25">
        <v>12.14</v>
      </c>
      <c r="L333" s="25">
        <v>7.9</v>
      </c>
      <c r="M333" s="33">
        <v>27.5</v>
      </c>
      <c r="N333">
        <v>1.7506999999999999</v>
      </c>
      <c r="O333" s="31">
        <v>227.5</v>
      </c>
      <c r="P333" s="38">
        <v>104.7163</v>
      </c>
      <c r="Q333" s="22">
        <v>0.27971117686699998</v>
      </c>
      <c r="R333" s="38">
        <v>0.602298</v>
      </c>
      <c r="T333" s="2"/>
      <c r="U333" s="2"/>
      <c r="V333" s="24"/>
      <c r="W333" s="24"/>
      <c r="X333" s="24"/>
      <c r="Y333" s="24"/>
      <c r="Z333" s="24"/>
      <c r="AA333" s="24"/>
      <c r="AB333" s="24"/>
      <c r="AC333" s="25"/>
      <c r="AD333" s="25"/>
      <c r="AE333" s="25"/>
      <c r="AF333" s="25"/>
      <c r="AG333" s="25"/>
      <c r="AH333" s="16"/>
      <c r="AI333" s="25"/>
      <c r="AJ333" s="25"/>
      <c r="AL333" s="3"/>
      <c r="AM333" s="22"/>
      <c r="AN333" s="9"/>
      <c r="AO333" s="9"/>
      <c r="AP333" s="9"/>
      <c r="AQ333" s="9"/>
      <c r="AS333" s="31"/>
    </row>
    <row r="334" spans="1:45">
      <c r="A334" s="13">
        <v>27211</v>
      </c>
      <c r="B334" s="3">
        <v>45.4636</v>
      </c>
      <c r="C334" s="24">
        <v>87149</v>
      </c>
      <c r="D334" s="24">
        <v>78634</v>
      </c>
      <c r="E334" s="2">
        <v>5.5</v>
      </c>
      <c r="F334" s="33">
        <v>-7.6698000000000002E-2</v>
      </c>
      <c r="G334" s="33">
        <v>-7.7790999999999999E-2</v>
      </c>
      <c r="H334" s="25">
        <v>8.7200000000000006</v>
      </c>
      <c r="I334" s="25">
        <v>9.48</v>
      </c>
      <c r="J334" s="25">
        <v>12.92</v>
      </c>
      <c r="K334" s="25">
        <v>13.52</v>
      </c>
      <c r="L334" s="25">
        <v>7.55</v>
      </c>
      <c r="M334" s="33">
        <v>30.6</v>
      </c>
      <c r="N334">
        <v>5.2084999999999999</v>
      </c>
      <c r="O334" s="31">
        <v>228.2</v>
      </c>
      <c r="P334" s="38">
        <v>159.3158</v>
      </c>
      <c r="Q334" s="22">
        <v>-9.1264056371000005E-2</v>
      </c>
      <c r="R334" s="38">
        <v>1.093178</v>
      </c>
      <c r="T334" s="2"/>
      <c r="U334" s="2"/>
      <c r="V334" s="24"/>
      <c r="W334" s="24"/>
      <c r="X334" s="24"/>
      <c r="Y334" s="24"/>
      <c r="Z334" s="24"/>
      <c r="AA334" s="24"/>
      <c r="AB334" s="24"/>
      <c r="AC334" s="25"/>
      <c r="AD334" s="25"/>
      <c r="AE334" s="25"/>
      <c r="AF334" s="25"/>
      <c r="AG334" s="25"/>
      <c r="AH334" s="16"/>
      <c r="AI334" s="25"/>
      <c r="AJ334" s="25"/>
      <c r="AL334" s="3"/>
      <c r="AM334" s="22"/>
      <c r="AN334" s="9"/>
      <c r="AO334" s="9"/>
      <c r="AP334" s="9"/>
      <c r="AQ334" s="9"/>
      <c r="AS334" s="9"/>
    </row>
    <row r="335" spans="1:45">
      <c r="A335" s="13">
        <v>27242</v>
      </c>
      <c r="B335" s="3">
        <v>45.036700000000003</v>
      </c>
      <c r="C335" s="24">
        <v>87037</v>
      </c>
      <c r="D335" s="24">
        <v>78619</v>
      </c>
      <c r="E335" s="2">
        <v>5.5</v>
      </c>
      <c r="F335" s="33">
        <v>-8.2177E-2</v>
      </c>
      <c r="G335" s="33">
        <v>-9.0278999999999998E-2</v>
      </c>
      <c r="H335" s="25">
        <v>9</v>
      </c>
      <c r="I335" s="25">
        <v>9.77</v>
      </c>
      <c r="J335" s="25">
        <v>12.01</v>
      </c>
      <c r="K335" s="25">
        <v>13.57</v>
      </c>
      <c r="L335" s="25">
        <v>8.9600000000000009</v>
      </c>
      <c r="M335" s="33">
        <v>30.7</v>
      </c>
      <c r="N335">
        <v>-6.9188999999999998</v>
      </c>
      <c r="O335" s="31">
        <v>224.2</v>
      </c>
      <c r="P335" s="38">
        <v>156.5849</v>
      </c>
      <c r="Q335" s="22">
        <v>-2.1514542532999999E-2</v>
      </c>
      <c r="R335" s="38">
        <v>0.65409700000000004</v>
      </c>
      <c r="T335" s="2"/>
      <c r="U335" s="2"/>
      <c r="V335" s="24"/>
      <c r="W335" s="24"/>
      <c r="X335" s="24"/>
      <c r="Y335" s="24"/>
      <c r="Z335" s="24"/>
      <c r="AA335" s="24"/>
      <c r="AB335" s="24"/>
      <c r="AC335" s="25"/>
      <c r="AD335" s="25"/>
      <c r="AE335" s="25"/>
      <c r="AF335" s="25"/>
      <c r="AG335" s="25"/>
      <c r="AH335" s="16"/>
      <c r="AI335" s="25"/>
      <c r="AJ335" s="25"/>
      <c r="AL335" s="3"/>
      <c r="AM335" s="22"/>
      <c r="AN335" s="9"/>
      <c r="AO335" s="9"/>
      <c r="AP335" s="9"/>
      <c r="AQ335" s="9"/>
      <c r="AS335" s="31"/>
    </row>
    <row r="336" spans="1:45">
      <c r="A336" s="13">
        <v>27273</v>
      </c>
      <c r="B336" s="3">
        <v>45.070099999999996</v>
      </c>
      <c r="C336" s="24">
        <v>87051</v>
      </c>
      <c r="D336" s="24">
        <v>78614</v>
      </c>
      <c r="E336" s="2">
        <v>5.9</v>
      </c>
      <c r="F336" s="33">
        <v>-0.117511</v>
      </c>
      <c r="G336" s="33">
        <v>-0.119335</v>
      </c>
      <c r="H336" s="25">
        <v>9.24</v>
      </c>
      <c r="I336" s="25">
        <v>10.18</v>
      </c>
      <c r="J336" s="25">
        <v>11.34</v>
      </c>
      <c r="K336" s="25">
        <v>12.35</v>
      </c>
      <c r="L336" s="25">
        <v>8.06</v>
      </c>
      <c r="M336" s="33">
        <v>30.7</v>
      </c>
      <c r="N336">
        <v>-3.4548999999999999</v>
      </c>
      <c r="O336" s="31">
        <v>214.7</v>
      </c>
      <c r="P336" s="38">
        <v>109.84099999999999</v>
      </c>
      <c r="Q336" s="22">
        <v>-0.42973776376099998</v>
      </c>
      <c r="R336" s="38">
        <v>0.73929699999999998</v>
      </c>
      <c r="T336" s="2"/>
      <c r="U336" s="2"/>
      <c r="V336" s="24"/>
      <c r="W336" s="24"/>
      <c r="X336" s="24"/>
      <c r="Y336" s="24"/>
      <c r="Z336" s="24"/>
      <c r="AA336" s="24"/>
      <c r="AB336" s="24"/>
      <c r="AC336" s="25"/>
      <c r="AD336" s="25"/>
      <c r="AE336" s="25"/>
      <c r="AF336" s="25"/>
      <c r="AG336" s="25"/>
      <c r="AH336" s="16"/>
      <c r="AI336" s="25"/>
      <c r="AJ336" s="25"/>
      <c r="AL336" s="3"/>
      <c r="AM336" s="22"/>
      <c r="AN336" s="9"/>
      <c r="AO336" s="9"/>
      <c r="AP336" s="9"/>
      <c r="AQ336" s="9"/>
      <c r="AS336" s="9"/>
    </row>
    <row r="337" spans="1:45">
      <c r="A337" s="13">
        <v>27303</v>
      </c>
      <c r="B337" s="3">
        <v>44.900399999999998</v>
      </c>
      <c r="C337" s="24">
        <v>86995</v>
      </c>
      <c r="D337" s="24">
        <v>78627</v>
      </c>
      <c r="E337" s="2">
        <v>6</v>
      </c>
      <c r="F337" s="33">
        <v>0.16811300000000001</v>
      </c>
      <c r="G337" s="33">
        <v>0.163047</v>
      </c>
      <c r="H337" s="25">
        <v>9.27</v>
      </c>
      <c r="I337" s="25">
        <v>10.48</v>
      </c>
      <c r="J337" s="25">
        <v>10.06</v>
      </c>
      <c r="K337" s="25">
        <v>10.95</v>
      </c>
      <c r="L337" s="25">
        <v>7.46</v>
      </c>
      <c r="M337" s="33">
        <v>30.8</v>
      </c>
      <c r="N337">
        <v>-6.2037000000000004</v>
      </c>
      <c r="O337" s="31">
        <v>204.4</v>
      </c>
      <c r="P337" s="38">
        <v>114.29900000000001</v>
      </c>
      <c r="Q337" s="22">
        <v>-0.28397470926000001</v>
      </c>
      <c r="R337" s="38">
        <v>0.79707700000000004</v>
      </c>
      <c r="T337" s="2"/>
      <c r="U337" s="2"/>
      <c r="V337" s="24"/>
      <c r="W337" s="24"/>
      <c r="X337" s="24"/>
      <c r="Y337" s="24"/>
      <c r="Z337" s="24"/>
      <c r="AA337" s="24"/>
      <c r="AB337" s="24"/>
      <c r="AC337" s="25"/>
      <c r="AD337" s="25"/>
      <c r="AE337" s="25"/>
      <c r="AF337" s="25"/>
      <c r="AG337" s="25"/>
      <c r="AH337" s="16"/>
      <c r="AI337" s="25"/>
      <c r="AJ337" s="25"/>
      <c r="AL337" s="3"/>
      <c r="AM337" s="22"/>
      <c r="AN337" s="9"/>
      <c r="AO337" s="9"/>
      <c r="AP337" s="9"/>
      <c r="AQ337" s="9"/>
      <c r="AS337" s="31"/>
    </row>
    <row r="338" spans="1:45">
      <c r="A338" s="13">
        <v>27334</v>
      </c>
      <c r="B338" s="3">
        <v>43.421500000000002</v>
      </c>
      <c r="C338" s="24">
        <v>86626</v>
      </c>
      <c r="D338" s="24">
        <v>78259</v>
      </c>
      <c r="E338" s="2">
        <v>6.6</v>
      </c>
      <c r="F338" s="33">
        <v>-4.5687999999999999E-2</v>
      </c>
      <c r="G338" s="33">
        <v>-5.3179999999999998E-2</v>
      </c>
      <c r="H338" s="25">
        <v>8.89</v>
      </c>
      <c r="I338" s="25">
        <v>10.6</v>
      </c>
      <c r="J338" s="25">
        <v>9.4499999999999993</v>
      </c>
      <c r="K338" s="25">
        <v>10.08</v>
      </c>
      <c r="L338" s="25">
        <v>7.47</v>
      </c>
      <c r="M338" s="33">
        <v>31.5</v>
      </c>
      <c r="N338">
        <v>-0.38372000000000001</v>
      </c>
      <c r="O338" s="31">
        <v>196.4</v>
      </c>
      <c r="P338" s="38">
        <v>129.08969999999999</v>
      </c>
      <c r="Q338" s="22">
        <v>0.33647607063599999</v>
      </c>
      <c r="R338" s="38">
        <v>0.84118800000000005</v>
      </c>
      <c r="T338" s="2"/>
      <c r="U338" s="2"/>
      <c r="V338" s="24"/>
      <c r="W338" s="24"/>
      <c r="X338" s="24"/>
      <c r="Y338" s="24"/>
      <c r="Z338" s="24"/>
      <c r="AA338" s="24"/>
      <c r="AB338" s="24"/>
      <c r="AC338" s="25"/>
      <c r="AD338" s="25"/>
      <c r="AE338" s="25"/>
      <c r="AF338" s="25"/>
      <c r="AG338" s="25"/>
      <c r="AH338" s="16"/>
      <c r="AI338" s="25"/>
      <c r="AJ338" s="25"/>
      <c r="AL338" s="3"/>
      <c r="AM338" s="22"/>
      <c r="AN338" s="9"/>
      <c r="AO338" s="9"/>
      <c r="AP338" s="9"/>
      <c r="AQ338" s="9"/>
      <c r="AS338" s="9"/>
    </row>
    <row r="339" spans="1:45">
      <c r="A339" s="13">
        <v>27364</v>
      </c>
      <c r="B339" s="3">
        <v>41.882800000000003</v>
      </c>
      <c r="C339" s="24">
        <v>86144</v>
      </c>
      <c r="D339" s="24">
        <v>77657</v>
      </c>
      <c r="E339" s="2">
        <v>7.2</v>
      </c>
      <c r="F339" s="33">
        <v>-1.8020999999999999E-2</v>
      </c>
      <c r="G339" s="33">
        <v>-2.0150999999999999E-2</v>
      </c>
      <c r="H339" s="25">
        <v>8.89</v>
      </c>
      <c r="I339" s="25">
        <v>10.63</v>
      </c>
      <c r="J339" s="25">
        <v>8.5299999999999994</v>
      </c>
      <c r="K339" s="25">
        <v>10.28</v>
      </c>
      <c r="L339" s="25">
        <v>7.15</v>
      </c>
      <c r="M339" s="33">
        <v>30.4</v>
      </c>
      <c r="N339">
        <v>-2.1579999999999999</v>
      </c>
      <c r="O339" s="31">
        <v>183.4</v>
      </c>
      <c r="P339" s="38">
        <v>187.6849</v>
      </c>
      <c r="Q339" s="22">
        <v>-0.22851303499799999</v>
      </c>
      <c r="R339" s="38">
        <v>0.94852099999999995</v>
      </c>
      <c r="T339" s="2"/>
      <c r="U339" s="2"/>
      <c r="V339" s="24"/>
      <c r="W339" s="24"/>
      <c r="X339" s="24"/>
      <c r="Y339" s="24"/>
      <c r="Z339" s="24"/>
      <c r="AA339" s="24"/>
      <c r="AB339" s="24"/>
      <c r="AC339" s="25"/>
      <c r="AD339" s="25"/>
      <c r="AE339" s="25"/>
      <c r="AF339" s="25"/>
      <c r="AG339" s="25"/>
      <c r="AH339" s="16"/>
      <c r="AI339" s="25"/>
      <c r="AJ339" s="25"/>
      <c r="AL339" s="3"/>
      <c r="AM339" s="22"/>
      <c r="AN339" s="9"/>
      <c r="AO339" s="9"/>
      <c r="AP339" s="9"/>
      <c r="AQ339" s="9"/>
      <c r="AS339" s="31"/>
    </row>
    <row r="340" spans="1:45">
      <c r="A340" s="13">
        <v>27395</v>
      </c>
      <c r="B340" s="3">
        <v>41.327399999999997</v>
      </c>
      <c r="C340" s="24">
        <v>85627</v>
      </c>
      <c r="D340" s="24">
        <v>77297</v>
      </c>
      <c r="E340" s="2">
        <v>8.1</v>
      </c>
      <c r="F340" s="33">
        <v>0.12361</v>
      </c>
      <c r="G340" s="33">
        <v>0.122812</v>
      </c>
      <c r="H340" s="25">
        <v>8.83</v>
      </c>
      <c r="I340" s="25">
        <v>10.81</v>
      </c>
      <c r="J340" s="25">
        <v>7.13</v>
      </c>
      <c r="K340" s="25">
        <v>8.5299999999999994</v>
      </c>
      <c r="L340" s="25">
        <v>6.26</v>
      </c>
      <c r="M340" s="33">
        <v>30.4</v>
      </c>
      <c r="N340">
        <v>-4.5785999999999998</v>
      </c>
      <c r="O340" s="31">
        <v>180.1</v>
      </c>
      <c r="P340" s="38">
        <v>154.42150000000001</v>
      </c>
      <c r="Q340" s="22">
        <v>-0.35386211615099999</v>
      </c>
      <c r="R340" s="38">
        <v>0.29188399999999998</v>
      </c>
      <c r="T340" s="2"/>
      <c r="U340" s="2"/>
      <c r="V340" s="24"/>
      <c r="W340" s="24"/>
      <c r="X340" s="24"/>
      <c r="Y340" s="24"/>
      <c r="Z340" s="24"/>
      <c r="AA340" s="24"/>
      <c r="AB340" s="24"/>
      <c r="AC340" s="25"/>
      <c r="AD340" s="25"/>
      <c r="AE340" s="25"/>
      <c r="AF340" s="25"/>
      <c r="AG340" s="25"/>
      <c r="AH340" s="16"/>
      <c r="AI340" s="25"/>
      <c r="AJ340" s="25"/>
      <c r="AL340" s="3"/>
      <c r="AM340" s="22"/>
      <c r="AN340" s="9"/>
      <c r="AO340" s="9"/>
      <c r="AP340" s="9"/>
      <c r="AQ340" s="9"/>
      <c r="AS340" s="9"/>
    </row>
    <row r="341" spans="1:45">
      <c r="A341" s="13">
        <v>27426</v>
      </c>
      <c r="B341" s="3">
        <v>40.368299999999998</v>
      </c>
      <c r="C341" s="24">
        <v>85256</v>
      </c>
      <c r="D341" s="24">
        <v>76919</v>
      </c>
      <c r="E341" s="2">
        <v>8.1</v>
      </c>
      <c r="F341" s="33">
        <v>6.7460000000000006E-2</v>
      </c>
      <c r="G341" s="33">
        <v>5.9886000000000002E-2</v>
      </c>
      <c r="H341" s="25">
        <v>8.6199999999999992</v>
      </c>
      <c r="I341" s="25">
        <v>10.65</v>
      </c>
      <c r="J341" s="25">
        <v>6.24</v>
      </c>
      <c r="K341" s="25">
        <v>7.27</v>
      </c>
      <c r="L341" s="25">
        <v>5.5</v>
      </c>
      <c r="M341" s="33">
        <v>31.2</v>
      </c>
      <c r="N341">
        <v>-0.31548999999999999</v>
      </c>
      <c r="O341" s="31">
        <v>181.1</v>
      </c>
      <c r="P341" s="38">
        <v>114.47920000000001</v>
      </c>
      <c r="Q341" s="22">
        <v>0.242914555167</v>
      </c>
      <c r="R341" s="38">
        <v>0.36879600000000001</v>
      </c>
      <c r="T341" s="2"/>
      <c r="U341" s="2"/>
      <c r="V341" s="24"/>
      <c r="W341" s="24"/>
      <c r="X341" s="24"/>
      <c r="Y341" s="24"/>
      <c r="Z341" s="24"/>
      <c r="AA341" s="24"/>
      <c r="AB341" s="24"/>
      <c r="AC341" s="25"/>
      <c r="AD341" s="25"/>
      <c r="AE341" s="25"/>
      <c r="AF341" s="25"/>
      <c r="AG341" s="25"/>
      <c r="AH341" s="16"/>
      <c r="AI341" s="25"/>
      <c r="AJ341" s="25"/>
      <c r="AL341" s="3"/>
      <c r="AM341" s="22"/>
      <c r="AN341" s="9"/>
      <c r="AO341" s="9"/>
      <c r="AP341" s="9"/>
      <c r="AQ341" s="9"/>
      <c r="AS341" s="31"/>
    </row>
    <row r="342" spans="1:45">
      <c r="A342" s="13">
        <v>27454</v>
      </c>
      <c r="B342" s="3">
        <v>39.947000000000003</v>
      </c>
      <c r="C342" s="24">
        <v>85187</v>
      </c>
      <c r="D342" s="24">
        <v>76649</v>
      </c>
      <c r="E342" s="2">
        <v>8.6</v>
      </c>
      <c r="F342" s="33">
        <v>2.4014000000000001E-2</v>
      </c>
      <c r="G342" s="33">
        <v>2.1694000000000001E-2</v>
      </c>
      <c r="H342" s="25">
        <v>8.67</v>
      </c>
      <c r="I342" s="25">
        <v>10.48</v>
      </c>
      <c r="J342" s="25">
        <v>5.54</v>
      </c>
      <c r="K342" s="25">
        <v>6.85</v>
      </c>
      <c r="L342" s="25">
        <v>5.49</v>
      </c>
      <c r="M342" s="33">
        <v>31.4</v>
      </c>
      <c r="N342">
        <v>-0.81923000000000001</v>
      </c>
      <c r="O342" s="31">
        <v>182.3</v>
      </c>
      <c r="P342" s="38">
        <v>99.106179999999995</v>
      </c>
      <c r="Q342" s="22">
        <v>-0.49850615140400001</v>
      </c>
      <c r="R342" s="38">
        <v>0.51258300000000001</v>
      </c>
      <c r="T342" s="2"/>
      <c r="U342" s="2"/>
      <c r="V342" s="24"/>
      <c r="W342" s="24"/>
      <c r="X342" s="24"/>
      <c r="Y342" s="24"/>
      <c r="Z342" s="24"/>
      <c r="AA342" s="24"/>
      <c r="AB342" s="24"/>
      <c r="AC342" s="25"/>
      <c r="AD342" s="25"/>
      <c r="AE342" s="25"/>
      <c r="AF342" s="25"/>
      <c r="AG342" s="25"/>
      <c r="AH342" s="16"/>
      <c r="AI342" s="25"/>
      <c r="AJ342" s="25"/>
      <c r="AL342" s="3"/>
      <c r="AM342" s="22"/>
      <c r="AN342" s="9"/>
      <c r="AO342" s="9"/>
      <c r="AP342" s="9"/>
      <c r="AQ342" s="9"/>
      <c r="AS342" s="9"/>
    </row>
    <row r="343" spans="1:45">
      <c r="A343" s="13">
        <v>27485</v>
      </c>
      <c r="B343" s="3">
        <v>39.969799999999999</v>
      </c>
      <c r="C343" s="24">
        <v>85189</v>
      </c>
      <c r="D343" s="24">
        <v>76463</v>
      </c>
      <c r="E343" s="2">
        <v>8.8000000000000007</v>
      </c>
      <c r="F343" s="33">
        <v>4.9424000000000003E-2</v>
      </c>
      <c r="G343" s="33">
        <v>4.7265000000000001E-2</v>
      </c>
      <c r="H343" s="25">
        <v>8.9499999999999993</v>
      </c>
      <c r="I343" s="25">
        <v>10.58</v>
      </c>
      <c r="J343" s="25">
        <v>5.49</v>
      </c>
      <c r="K343" s="25">
        <v>7.04</v>
      </c>
      <c r="L343" s="25">
        <v>5.61</v>
      </c>
      <c r="M343" s="33">
        <v>31.7</v>
      </c>
      <c r="N343">
        <v>3.6393</v>
      </c>
      <c r="O343" s="31">
        <v>186.4</v>
      </c>
      <c r="P343" s="38">
        <v>132.55510000000001</v>
      </c>
      <c r="Q343" s="22">
        <v>-0.63717063980300004</v>
      </c>
      <c r="R343" s="38">
        <v>0.15956200000000001</v>
      </c>
      <c r="T343" s="2"/>
      <c r="U343" s="2"/>
      <c r="V343" s="24"/>
      <c r="W343" s="24"/>
      <c r="X343" s="24"/>
      <c r="Y343" s="24"/>
      <c r="Z343" s="24"/>
      <c r="AA343" s="24"/>
      <c r="AB343" s="24"/>
      <c r="AC343" s="25"/>
      <c r="AD343" s="25"/>
      <c r="AE343" s="25"/>
      <c r="AF343" s="25"/>
      <c r="AG343" s="25"/>
      <c r="AH343" s="16"/>
      <c r="AI343" s="25"/>
      <c r="AJ343" s="25"/>
      <c r="AL343" s="3"/>
      <c r="AM343" s="22"/>
      <c r="AN343" s="9"/>
      <c r="AO343" s="9"/>
      <c r="AP343" s="9"/>
      <c r="AQ343" s="9"/>
      <c r="AS343" s="31"/>
    </row>
    <row r="344" spans="1:45">
      <c r="A344" s="13">
        <v>27515</v>
      </c>
      <c r="B344" s="3">
        <v>39.880699999999997</v>
      </c>
      <c r="C344" s="24">
        <v>85451</v>
      </c>
      <c r="D344" s="24">
        <v>76623</v>
      </c>
      <c r="E344" s="2">
        <v>9</v>
      </c>
      <c r="F344" s="33">
        <v>5.1193000000000002E-2</v>
      </c>
      <c r="G344" s="33">
        <v>4.4101000000000001E-2</v>
      </c>
      <c r="H344" s="25">
        <v>8.9</v>
      </c>
      <c r="I344" s="25">
        <v>10.69</v>
      </c>
      <c r="J344" s="25">
        <v>5.22</v>
      </c>
      <c r="K344" s="25">
        <v>6.27</v>
      </c>
      <c r="L344" s="25">
        <v>5.23</v>
      </c>
      <c r="M344" s="33">
        <v>31.9</v>
      </c>
      <c r="N344">
        <v>-0.58038000000000001</v>
      </c>
      <c r="O344" s="31">
        <v>184.2</v>
      </c>
      <c r="P344" s="38">
        <v>96.117660000000001</v>
      </c>
      <c r="Q344" s="22">
        <v>0.135583607454</v>
      </c>
      <c r="R344" s="38">
        <v>0.32059900000000002</v>
      </c>
      <c r="T344" s="2"/>
      <c r="U344" s="2"/>
      <c r="V344" s="24"/>
      <c r="W344" s="24"/>
      <c r="X344" s="24"/>
      <c r="Y344" s="24"/>
      <c r="Z344" s="24"/>
      <c r="AA344" s="24"/>
      <c r="AB344" s="24"/>
      <c r="AC344" s="25"/>
      <c r="AD344" s="25"/>
      <c r="AE344" s="25"/>
      <c r="AF344" s="25"/>
      <c r="AG344" s="25"/>
      <c r="AH344" s="16"/>
      <c r="AI344" s="25"/>
      <c r="AJ344" s="25"/>
      <c r="AL344" s="3"/>
      <c r="AM344" s="22"/>
      <c r="AN344" s="9"/>
      <c r="AO344" s="9"/>
      <c r="AP344" s="9"/>
      <c r="AQ344" s="9"/>
      <c r="AS344" s="9"/>
    </row>
    <row r="345" spans="1:45">
      <c r="A345" s="13">
        <v>27546</v>
      </c>
      <c r="B345" s="3">
        <v>40.155200000000001</v>
      </c>
      <c r="C345" s="24">
        <v>85355</v>
      </c>
      <c r="D345" s="24">
        <v>76519</v>
      </c>
      <c r="E345" s="2">
        <v>8.8000000000000007</v>
      </c>
      <c r="F345" s="33">
        <v>4.6219999999999997E-2</v>
      </c>
      <c r="G345" s="33">
        <v>4.4323000000000001E-2</v>
      </c>
      <c r="H345" s="25">
        <v>8.77</v>
      </c>
      <c r="I345" s="25">
        <v>10.62</v>
      </c>
      <c r="J345" s="25">
        <v>5.55</v>
      </c>
      <c r="K345" s="25">
        <v>6.1</v>
      </c>
      <c r="L345" s="25">
        <v>5.34</v>
      </c>
      <c r="M345" s="33">
        <v>34.9</v>
      </c>
      <c r="N345">
        <v>3.3151999999999999</v>
      </c>
      <c r="O345" s="31">
        <v>173.2</v>
      </c>
      <c r="P345" s="38">
        <v>107.51439999999999</v>
      </c>
      <c r="Q345" s="22">
        <v>0.17042174617299999</v>
      </c>
      <c r="R345" s="38">
        <v>0.213032</v>
      </c>
      <c r="T345" s="2"/>
      <c r="U345" s="2"/>
      <c r="V345" s="24"/>
      <c r="W345" s="24"/>
      <c r="X345" s="24"/>
      <c r="Y345" s="24"/>
      <c r="Z345" s="24"/>
      <c r="AA345" s="24"/>
      <c r="AB345" s="24"/>
      <c r="AC345" s="25"/>
      <c r="AD345" s="25"/>
      <c r="AE345" s="25"/>
      <c r="AF345" s="25"/>
      <c r="AG345" s="25"/>
      <c r="AH345" s="16"/>
      <c r="AI345" s="25"/>
      <c r="AJ345" s="25"/>
      <c r="AL345" s="3"/>
      <c r="AM345" s="22"/>
      <c r="AN345" s="9"/>
      <c r="AO345" s="9"/>
      <c r="AP345" s="9"/>
      <c r="AQ345" s="9"/>
      <c r="AS345" s="31"/>
    </row>
    <row r="346" spans="1:45">
      <c r="A346" s="13">
        <v>27576</v>
      </c>
      <c r="B346" s="3">
        <v>40.590800000000002</v>
      </c>
      <c r="C346" s="24">
        <v>85894</v>
      </c>
      <c r="D346" s="24">
        <v>76768</v>
      </c>
      <c r="E346" s="2">
        <v>8.6</v>
      </c>
      <c r="F346" s="33">
        <v>-6.5504000000000007E-2</v>
      </c>
      <c r="G346" s="33">
        <v>-6.7654000000000006E-2</v>
      </c>
      <c r="H346" s="25">
        <v>8.84</v>
      </c>
      <c r="I346" s="25">
        <v>10.55</v>
      </c>
      <c r="J346" s="25">
        <v>6.1</v>
      </c>
      <c r="K346" s="25">
        <v>7.15</v>
      </c>
      <c r="L346" s="25">
        <v>6.13</v>
      </c>
      <c r="M346" s="33">
        <v>34.1</v>
      </c>
      <c r="N346">
        <v>4.9535999999999998</v>
      </c>
      <c r="O346" s="31">
        <v>171.5</v>
      </c>
      <c r="P346" s="38">
        <v>93.664879999999997</v>
      </c>
      <c r="Q346" s="22">
        <v>6.9957599521999994E-2</v>
      </c>
      <c r="R346" s="38">
        <v>0.352296</v>
      </c>
      <c r="T346" s="2"/>
      <c r="U346" s="2"/>
      <c r="V346" s="24"/>
      <c r="W346" s="24"/>
      <c r="X346" s="24"/>
      <c r="Y346" s="24"/>
      <c r="Z346" s="24"/>
      <c r="AA346" s="24"/>
      <c r="AB346" s="24"/>
      <c r="AC346" s="25"/>
      <c r="AD346" s="25"/>
      <c r="AE346" s="25"/>
      <c r="AF346" s="25"/>
      <c r="AG346" s="25"/>
      <c r="AH346" s="16"/>
      <c r="AI346" s="25"/>
      <c r="AJ346" s="25"/>
      <c r="AL346" s="3"/>
      <c r="AM346" s="22"/>
      <c r="AN346" s="9"/>
      <c r="AO346" s="9"/>
      <c r="AP346" s="9"/>
      <c r="AQ346" s="9"/>
      <c r="AS346" s="9"/>
    </row>
    <row r="347" spans="1:45">
      <c r="A347" s="13">
        <v>27607</v>
      </c>
      <c r="B347" s="3">
        <v>40.943600000000004</v>
      </c>
      <c r="C347" s="24">
        <v>86234</v>
      </c>
      <c r="D347" s="24">
        <v>77154</v>
      </c>
      <c r="E347" s="2">
        <v>8.4</v>
      </c>
      <c r="F347" s="33">
        <v>-1.5663E-2</v>
      </c>
      <c r="G347" s="33">
        <v>-2.1069999999999998E-2</v>
      </c>
      <c r="H347" s="25">
        <v>8.9499999999999993</v>
      </c>
      <c r="I347" s="25">
        <v>10.59</v>
      </c>
      <c r="J347" s="25">
        <v>6.14</v>
      </c>
      <c r="K347" s="25">
        <v>7.22</v>
      </c>
      <c r="L347" s="25">
        <v>6.44</v>
      </c>
      <c r="M347" s="33">
        <v>34.9</v>
      </c>
      <c r="N347">
        <v>-5.3328999999999998E-3</v>
      </c>
      <c r="O347" s="31">
        <v>179.6</v>
      </c>
      <c r="P347" s="38">
        <v>108.9076</v>
      </c>
      <c r="Q347" s="22">
        <v>-0.13645515954599999</v>
      </c>
      <c r="R347" s="38">
        <v>0.26812000000000002</v>
      </c>
      <c r="T347" s="2"/>
      <c r="U347" s="2"/>
      <c r="V347" s="24"/>
      <c r="W347" s="24"/>
      <c r="X347" s="24"/>
      <c r="Y347" s="24"/>
      <c r="Z347" s="24"/>
      <c r="AA347" s="24"/>
      <c r="AB347" s="24"/>
      <c r="AC347" s="25"/>
      <c r="AD347" s="25"/>
      <c r="AE347" s="25"/>
      <c r="AF347" s="25"/>
      <c r="AG347" s="25"/>
      <c r="AH347" s="16"/>
      <c r="AI347" s="25"/>
      <c r="AJ347" s="25"/>
      <c r="AL347" s="3"/>
      <c r="AM347" s="22"/>
      <c r="AN347" s="9"/>
      <c r="AO347" s="9"/>
      <c r="AP347" s="9"/>
      <c r="AQ347" s="9"/>
      <c r="AS347" s="31"/>
    </row>
    <row r="348" spans="1:45">
      <c r="A348" s="13">
        <v>27638</v>
      </c>
      <c r="B348" s="3">
        <v>41.4621</v>
      </c>
      <c r="C348" s="24">
        <v>86279</v>
      </c>
      <c r="D348" s="24">
        <v>77232</v>
      </c>
      <c r="E348" s="2">
        <v>8.4</v>
      </c>
      <c r="F348" s="33">
        <v>-3.2250000000000001E-2</v>
      </c>
      <c r="G348" s="33">
        <v>-3.4645000000000002E-2</v>
      </c>
      <c r="H348" s="25">
        <v>8.9499999999999993</v>
      </c>
      <c r="I348" s="25">
        <v>10.61</v>
      </c>
      <c r="J348" s="25">
        <v>6.24</v>
      </c>
      <c r="K348" s="25">
        <v>7.4</v>
      </c>
      <c r="L348" s="25">
        <v>6.42</v>
      </c>
      <c r="M348" s="33">
        <v>34.9</v>
      </c>
      <c r="N348">
        <v>0.34923999999999999</v>
      </c>
      <c r="O348" s="31">
        <v>184.2</v>
      </c>
      <c r="P348" s="38">
        <v>102.62949999999999</v>
      </c>
      <c r="Q348" s="22">
        <v>-0.11375703909900001</v>
      </c>
      <c r="R348" s="38">
        <v>0.28102100000000002</v>
      </c>
      <c r="T348" s="2"/>
      <c r="U348" s="2"/>
      <c r="V348" s="24"/>
      <c r="W348" s="24"/>
      <c r="X348" s="24"/>
      <c r="Y348" s="24"/>
      <c r="Z348" s="24"/>
      <c r="AA348" s="24"/>
      <c r="AB348" s="24"/>
      <c r="AC348" s="25"/>
      <c r="AD348" s="25"/>
      <c r="AE348" s="25"/>
      <c r="AF348" s="25"/>
      <c r="AG348" s="25"/>
      <c r="AH348" s="16"/>
      <c r="AI348" s="25"/>
      <c r="AJ348" s="25"/>
      <c r="AL348" s="3"/>
      <c r="AM348" s="22"/>
      <c r="AN348" s="9"/>
      <c r="AO348" s="9"/>
      <c r="AP348" s="9"/>
      <c r="AQ348" s="9"/>
      <c r="AS348" s="9"/>
    </row>
    <row r="349" spans="1:45">
      <c r="A349" s="13">
        <v>27668</v>
      </c>
      <c r="B349" s="3">
        <v>41.619900000000001</v>
      </c>
      <c r="C349" s="24">
        <v>86370</v>
      </c>
      <c r="D349" s="24">
        <v>77535</v>
      </c>
      <c r="E349" s="2">
        <v>8.4</v>
      </c>
      <c r="F349" s="33">
        <v>6.4854999999999996E-2</v>
      </c>
      <c r="G349" s="33">
        <v>6.1643000000000003E-2</v>
      </c>
      <c r="H349" s="25">
        <v>8.86</v>
      </c>
      <c r="I349" s="25">
        <v>10.62</v>
      </c>
      <c r="J349" s="25">
        <v>5.82</v>
      </c>
      <c r="K349" s="25">
        <v>7.15</v>
      </c>
      <c r="L349" s="25">
        <v>5.96</v>
      </c>
      <c r="M349" s="33">
        <v>35.200000000000003</v>
      </c>
      <c r="N349">
        <v>-2.8047</v>
      </c>
      <c r="O349" s="31">
        <v>181.9</v>
      </c>
      <c r="P349" s="38">
        <v>156.2859</v>
      </c>
      <c r="Q349" s="22">
        <v>-0.199738131096</v>
      </c>
      <c r="R349" s="38">
        <v>0.101656</v>
      </c>
      <c r="T349" s="2"/>
      <c r="U349" s="2"/>
      <c r="V349" s="24"/>
      <c r="W349" s="24"/>
      <c r="X349" s="24"/>
      <c r="Y349" s="24"/>
      <c r="Z349" s="24"/>
      <c r="AA349" s="24"/>
      <c r="AB349" s="24"/>
      <c r="AC349" s="25"/>
      <c r="AD349" s="25"/>
      <c r="AE349" s="25"/>
      <c r="AF349" s="25"/>
      <c r="AG349" s="25"/>
      <c r="AH349" s="16"/>
      <c r="AI349" s="25"/>
      <c r="AJ349" s="25"/>
      <c r="AL349" s="3"/>
      <c r="AM349" s="22"/>
      <c r="AN349" s="9"/>
      <c r="AO349" s="9"/>
      <c r="AP349" s="9"/>
      <c r="AQ349" s="9"/>
      <c r="AS349" s="31"/>
    </row>
    <row r="350" spans="1:45">
      <c r="A350" s="13">
        <v>27699</v>
      </c>
      <c r="B350" s="3">
        <v>41.722900000000003</v>
      </c>
      <c r="C350" s="24">
        <v>86456</v>
      </c>
      <c r="D350" s="24">
        <v>77679</v>
      </c>
      <c r="E350" s="2">
        <v>8.3000000000000007</v>
      </c>
      <c r="F350" s="33">
        <v>3.0089000000000001E-2</v>
      </c>
      <c r="G350" s="33">
        <v>2.4708000000000001E-2</v>
      </c>
      <c r="H350" s="25">
        <v>8.7799999999999994</v>
      </c>
      <c r="I350" s="25">
        <v>10.56</v>
      </c>
      <c r="J350" s="25">
        <v>5.22</v>
      </c>
      <c r="K350" s="25">
        <v>6.76</v>
      </c>
      <c r="L350" s="25">
        <v>5.48</v>
      </c>
      <c r="M350" s="33">
        <v>35.6</v>
      </c>
      <c r="N350">
        <v>-4.1391999999999998</v>
      </c>
      <c r="O350" s="31">
        <v>179.8</v>
      </c>
      <c r="P350" s="38">
        <v>163.92330000000001</v>
      </c>
      <c r="Q350" s="22">
        <v>-0.28141091785599998</v>
      </c>
      <c r="R350" s="38">
        <v>0.200096</v>
      </c>
      <c r="T350" s="2"/>
      <c r="U350" s="2"/>
      <c r="V350" s="24"/>
      <c r="W350" s="24"/>
      <c r="X350" s="24"/>
      <c r="Y350" s="24"/>
      <c r="Z350" s="24"/>
      <c r="AA350" s="24"/>
      <c r="AB350" s="24"/>
      <c r="AC350" s="25"/>
      <c r="AD350" s="25"/>
      <c r="AE350" s="25"/>
      <c r="AF350" s="25"/>
      <c r="AG350" s="25"/>
      <c r="AH350" s="16"/>
      <c r="AI350" s="25"/>
      <c r="AJ350" s="25"/>
      <c r="AL350" s="3"/>
      <c r="AM350" s="22"/>
      <c r="AN350" s="9"/>
      <c r="AO350" s="9"/>
      <c r="AP350" s="9"/>
      <c r="AQ350" s="9"/>
      <c r="AS350" s="9"/>
    </row>
    <row r="351" spans="1:45">
      <c r="A351" s="13">
        <v>27729</v>
      </c>
      <c r="B351" s="3">
        <v>42.250900000000001</v>
      </c>
      <c r="C351" s="24">
        <v>86665</v>
      </c>
      <c r="D351" s="24">
        <v>78017</v>
      </c>
      <c r="E351" s="2">
        <v>8.1999999999999993</v>
      </c>
      <c r="F351" s="33">
        <v>-1.0485E-2</v>
      </c>
      <c r="G351" s="33">
        <v>-1.1508000000000001E-2</v>
      </c>
      <c r="H351" s="25">
        <v>8.7899999999999991</v>
      </c>
      <c r="I351" s="25">
        <v>10.56</v>
      </c>
      <c r="J351" s="25">
        <v>5.2</v>
      </c>
      <c r="K351" s="25">
        <v>6.47</v>
      </c>
      <c r="L351" s="25">
        <v>5.44</v>
      </c>
      <c r="M351" s="33">
        <v>35.799999999999997</v>
      </c>
      <c r="N351">
        <v>0.84677999999999998</v>
      </c>
      <c r="O351" s="31">
        <v>180.6</v>
      </c>
      <c r="P351" s="38">
        <v>148.0615</v>
      </c>
      <c r="Q351" s="22">
        <v>0.280342527457</v>
      </c>
      <c r="R351" s="38">
        <v>-2.8525999999999999E-2</v>
      </c>
      <c r="T351" s="2"/>
      <c r="U351" s="2"/>
      <c r="V351" s="24"/>
      <c r="W351" s="24"/>
      <c r="X351" s="24"/>
      <c r="Y351" s="24"/>
      <c r="Z351" s="24"/>
      <c r="AA351" s="24"/>
      <c r="AB351" s="24"/>
      <c r="AC351" s="25"/>
      <c r="AD351" s="25"/>
      <c r="AE351" s="25"/>
      <c r="AF351" s="25"/>
      <c r="AG351" s="25"/>
      <c r="AH351" s="16"/>
      <c r="AI351" s="25"/>
      <c r="AJ351" s="25"/>
      <c r="AL351" s="3"/>
      <c r="AM351" s="22"/>
      <c r="AN351" s="9"/>
      <c r="AO351" s="9"/>
      <c r="AP351" s="9"/>
      <c r="AQ351" s="9"/>
      <c r="AS351" s="31"/>
    </row>
    <row r="352" spans="1:45">
      <c r="A352" s="13">
        <v>27760</v>
      </c>
      <c r="B352" s="3">
        <v>42.872</v>
      </c>
      <c r="C352" s="24">
        <v>87400</v>
      </c>
      <c r="D352" s="24">
        <v>78506</v>
      </c>
      <c r="E352" s="2">
        <v>7.9</v>
      </c>
      <c r="F352" s="33">
        <v>0.120143</v>
      </c>
      <c r="G352" s="33">
        <v>0.11830599999999999</v>
      </c>
      <c r="H352" s="25">
        <v>8.6</v>
      </c>
      <c r="I352" s="25">
        <v>10.41</v>
      </c>
      <c r="J352" s="25">
        <v>4.87</v>
      </c>
      <c r="K352" s="25">
        <v>5.49</v>
      </c>
      <c r="L352" s="25">
        <v>4.87</v>
      </c>
      <c r="M352" s="33">
        <v>35.9</v>
      </c>
      <c r="N352">
        <v>-3.0510000000000002</v>
      </c>
      <c r="O352" s="31">
        <v>183.6</v>
      </c>
      <c r="P352" s="38">
        <v>99.215810000000005</v>
      </c>
      <c r="Q352" s="22">
        <v>-9.0654503429E-2</v>
      </c>
      <c r="R352" s="38">
        <v>-7.4068999999999996E-2</v>
      </c>
      <c r="T352" s="2"/>
      <c r="U352" s="2"/>
      <c r="V352" s="24"/>
      <c r="W352" s="24"/>
      <c r="X352" s="24"/>
      <c r="Y352" s="24"/>
      <c r="Z352" s="24"/>
      <c r="AA352" s="24"/>
      <c r="AB352" s="24"/>
      <c r="AC352" s="25"/>
      <c r="AD352" s="25"/>
      <c r="AE352" s="25"/>
      <c r="AF352" s="25"/>
      <c r="AG352" s="25"/>
      <c r="AH352" s="16"/>
      <c r="AI352" s="25"/>
      <c r="AJ352" s="25"/>
      <c r="AL352" s="3"/>
      <c r="AM352" s="22"/>
      <c r="AN352" s="9"/>
      <c r="AO352" s="9"/>
      <c r="AP352" s="9"/>
      <c r="AQ352" s="9"/>
      <c r="AS352" s="9"/>
    </row>
    <row r="353" spans="1:45">
      <c r="A353" s="13">
        <v>27791</v>
      </c>
      <c r="B353" s="3">
        <v>43.2761</v>
      </c>
      <c r="C353" s="24">
        <v>87672</v>
      </c>
      <c r="D353" s="24">
        <v>78817</v>
      </c>
      <c r="E353" s="2">
        <v>7.7</v>
      </c>
      <c r="F353" s="33">
        <v>-5.7559999999999998E-3</v>
      </c>
      <c r="G353" s="33">
        <v>-1.1402000000000001E-2</v>
      </c>
      <c r="H353" s="25">
        <v>8.5500000000000007</v>
      </c>
      <c r="I353" s="25">
        <v>10.24</v>
      </c>
      <c r="J353" s="25">
        <v>4.7699999999999996</v>
      </c>
      <c r="K353" s="25">
        <v>5.5</v>
      </c>
      <c r="L353" s="25">
        <v>4.88</v>
      </c>
      <c r="M353" s="33">
        <v>33</v>
      </c>
      <c r="N353">
        <v>-2.2450999999999999</v>
      </c>
      <c r="O353" s="31">
        <v>186.6</v>
      </c>
      <c r="P353" s="38">
        <v>70.598879999999994</v>
      </c>
      <c r="Q353" s="22">
        <v>-0.46912145301199998</v>
      </c>
      <c r="R353" s="38">
        <v>7.6099999999999996E-3</v>
      </c>
      <c r="T353" s="2"/>
      <c r="U353" s="2"/>
      <c r="V353" s="24"/>
      <c r="W353" s="24"/>
      <c r="X353" s="24"/>
      <c r="Y353" s="24"/>
      <c r="Z353" s="24"/>
      <c r="AA353" s="24"/>
      <c r="AB353" s="24"/>
      <c r="AC353" s="25"/>
      <c r="AD353" s="25"/>
      <c r="AE353" s="25"/>
      <c r="AF353" s="25"/>
      <c r="AG353" s="25"/>
      <c r="AH353" s="16"/>
      <c r="AI353" s="25"/>
      <c r="AJ353" s="25"/>
      <c r="AL353" s="3"/>
      <c r="AM353" s="22"/>
      <c r="AN353" s="9"/>
      <c r="AO353" s="9"/>
      <c r="AP353" s="9"/>
      <c r="AQ353" s="9"/>
      <c r="AS353" s="31"/>
    </row>
    <row r="354" spans="1:45">
      <c r="A354" s="13">
        <v>27820</v>
      </c>
      <c r="B354" s="3">
        <v>43.320300000000003</v>
      </c>
      <c r="C354" s="24">
        <v>87985</v>
      </c>
      <c r="D354" s="24">
        <v>79049</v>
      </c>
      <c r="E354" s="2">
        <v>7.6</v>
      </c>
      <c r="F354" s="33">
        <v>3.2640000000000002E-2</v>
      </c>
      <c r="G354" s="33">
        <v>3.0689000000000001E-2</v>
      </c>
      <c r="H354" s="25">
        <v>8.52</v>
      </c>
      <c r="I354" s="25">
        <v>10.119999999999999</v>
      </c>
      <c r="J354" s="25">
        <v>4.84</v>
      </c>
      <c r="K354" s="25">
        <v>5.57</v>
      </c>
      <c r="L354" s="25">
        <v>5</v>
      </c>
      <c r="M354" s="33">
        <v>33.1</v>
      </c>
      <c r="N354">
        <v>-0.66105000000000003</v>
      </c>
      <c r="O354" s="31">
        <v>193.2</v>
      </c>
      <c r="P354" s="38">
        <v>106.5791</v>
      </c>
      <c r="Q354" s="22">
        <v>-0.238927196634</v>
      </c>
      <c r="R354" s="38">
        <v>-2.3501999999999999E-2</v>
      </c>
      <c r="T354" s="2"/>
      <c r="U354" s="2"/>
      <c r="V354" s="24"/>
      <c r="W354" s="24"/>
      <c r="X354" s="24"/>
      <c r="Y354" s="24"/>
      <c r="Z354" s="24"/>
      <c r="AA354" s="24"/>
      <c r="AB354" s="24"/>
      <c r="AC354" s="25"/>
      <c r="AD354" s="25"/>
      <c r="AE354" s="25"/>
      <c r="AF354" s="25"/>
      <c r="AG354" s="25"/>
      <c r="AH354" s="16"/>
      <c r="AI354" s="25"/>
      <c r="AJ354" s="25"/>
      <c r="AL354" s="3"/>
      <c r="AM354" s="22"/>
      <c r="AN354" s="9"/>
      <c r="AO354" s="9"/>
      <c r="AP354" s="9"/>
      <c r="AQ354" s="9"/>
      <c r="AS354" s="9"/>
    </row>
    <row r="355" spans="1:45">
      <c r="A355" s="13">
        <v>27851</v>
      </c>
      <c r="B355" s="3">
        <v>43.581899999999997</v>
      </c>
      <c r="C355" s="24">
        <v>88416</v>
      </c>
      <c r="D355" s="24">
        <v>79293</v>
      </c>
      <c r="E355" s="2">
        <v>7.7</v>
      </c>
      <c r="F355" s="33">
        <v>-9.6100000000000005E-3</v>
      </c>
      <c r="G355" s="33">
        <v>-1.0995E-2</v>
      </c>
      <c r="H355" s="25">
        <v>8.4</v>
      </c>
      <c r="I355" s="25">
        <v>9.94</v>
      </c>
      <c r="J355" s="25">
        <v>4.82</v>
      </c>
      <c r="K355" s="25">
        <v>5.39</v>
      </c>
      <c r="L355" s="25">
        <v>4.8600000000000003</v>
      </c>
      <c r="M355" s="33">
        <v>33.4</v>
      </c>
      <c r="N355">
        <v>-2.3715999999999999</v>
      </c>
      <c r="O355" s="31">
        <v>200.9</v>
      </c>
      <c r="P355" s="38">
        <v>77.459720000000004</v>
      </c>
      <c r="Q355" s="22">
        <v>0.138867693766</v>
      </c>
      <c r="R355" s="38">
        <v>2.5434999999999999E-2</v>
      </c>
      <c r="T355" s="2"/>
      <c r="U355" s="2"/>
      <c r="V355" s="24"/>
      <c r="W355" s="24"/>
      <c r="X355" s="24"/>
      <c r="Y355" s="24"/>
      <c r="Z355" s="24"/>
      <c r="AA355" s="24"/>
      <c r="AB355" s="24"/>
      <c r="AC355" s="25"/>
      <c r="AD355" s="25"/>
      <c r="AE355" s="25"/>
      <c r="AF355" s="25"/>
      <c r="AG355" s="25"/>
      <c r="AH355" s="16"/>
      <c r="AI355" s="25"/>
      <c r="AJ355" s="25"/>
      <c r="AL355" s="3"/>
      <c r="AM355" s="22"/>
      <c r="AN355" s="9"/>
      <c r="AO355" s="9"/>
      <c r="AP355" s="9"/>
      <c r="AQ355" s="9"/>
      <c r="AS355" s="31"/>
    </row>
    <row r="356" spans="1:45">
      <c r="A356" s="13">
        <v>27881</v>
      </c>
      <c r="B356" s="3">
        <v>43.780500000000004</v>
      </c>
      <c r="C356" s="24">
        <v>88794</v>
      </c>
      <c r="D356" s="24">
        <v>79311</v>
      </c>
      <c r="E356" s="2">
        <v>7.4</v>
      </c>
      <c r="F356" s="33">
        <v>-8.116E-3</v>
      </c>
      <c r="G356" s="33">
        <v>-1.4364E-2</v>
      </c>
      <c r="H356" s="25">
        <v>8.58</v>
      </c>
      <c r="I356" s="25">
        <v>9.86</v>
      </c>
      <c r="J356" s="25">
        <v>5.29</v>
      </c>
      <c r="K356" s="25">
        <v>5.97</v>
      </c>
      <c r="L356" s="25">
        <v>5.2</v>
      </c>
      <c r="M356" s="33">
        <v>33.5</v>
      </c>
      <c r="N356">
        <v>1.6072</v>
      </c>
      <c r="O356" s="31">
        <v>202.7</v>
      </c>
      <c r="P356" s="38">
        <v>80.162350000000004</v>
      </c>
      <c r="Q356" s="22">
        <v>-0.29763866700500002</v>
      </c>
      <c r="R356" s="38">
        <v>-1.3051999999999999E-2</v>
      </c>
      <c r="T356" s="2"/>
      <c r="U356" s="2"/>
      <c r="V356" s="24"/>
      <c r="W356" s="24"/>
      <c r="X356" s="24"/>
      <c r="Y356" s="24"/>
      <c r="Z356" s="24"/>
      <c r="AA356" s="24"/>
      <c r="AB356" s="24"/>
      <c r="AC356" s="25"/>
      <c r="AD356" s="25"/>
      <c r="AE356" s="25"/>
      <c r="AF356" s="25"/>
      <c r="AG356" s="25"/>
      <c r="AH356" s="16"/>
      <c r="AI356" s="25"/>
      <c r="AJ356" s="25"/>
      <c r="AL356" s="3"/>
      <c r="AM356" s="22"/>
      <c r="AN356" s="9"/>
      <c r="AO356" s="9"/>
      <c r="AP356" s="9"/>
      <c r="AQ356" s="9"/>
      <c r="AS356" s="9"/>
    </row>
    <row r="357" spans="1:45">
      <c r="A357" s="13">
        <v>27912</v>
      </c>
      <c r="B357" s="3">
        <v>43.781399999999998</v>
      </c>
      <c r="C357" s="24">
        <v>88563</v>
      </c>
      <c r="D357" s="24">
        <v>79376</v>
      </c>
      <c r="E357" s="2">
        <v>7.6</v>
      </c>
      <c r="F357" s="33">
        <v>4.3958999999999998E-2</v>
      </c>
      <c r="G357" s="33">
        <v>4.0925999999999997E-2</v>
      </c>
      <c r="H357" s="25">
        <v>8.6199999999999992</v>
      </c>
      <c r="I357" s="25">
        <v>9.89</v>
      </c>
      <c r="J357" s="25">
        <v>5.48</v>
      </c>
      <c r="K357" s="25">
        <v>6.22</v>
      </c>
      <c r="L357" s="25">
        <v>5.41</v>
      </c>
      <c r="M357" s="33">
        <v>33.799999999999997</v>
      </c>
      <c r="N357">
        <v>-6.3838000000000006E-2</v>
      </c>
      <c r="O357" s="31">
        <v>205.2</v>
      </c>
      <c r="P357" s="38">
        <v>102.0622</v>
      </c>
      <c r="Q357" s="22">
        <v>-3.7513364313000001E-2</v>
      </c>
      <c r="R357" s="38">
        <v>6.3333E-2</v>
      </c>
      <c r="T357" s="2"/>
      <c r="U357" s="2"/>
      <c r="V357" s="24"/>
      <c r="W357" s="24"/>
      <c r="X357" s="24"/>
      <c r="Y357" s="24"/>
      <c r="Z357" s="24"/>
      <c r="AA357" s="24"/>
      <c r="AB357" s="24"/>
      <c r="AC357" s="25"/>
      <c r="AD357" s="25"/>
      <c r="AE357" s="25"/>
      <c r="AF357" s="25"/>
      <c r="AG357" s="25"/>
      <c r="AH357" s="16"/>
      <c r="AI357" s="25"/>
      <c r="AJ357" s="25"/>
      <c r="AL357" s="3"/>
      <c r="AM357" s="22"/>
      <c r="AN357" s="9"/>
      <c r="AO357" s="9"/>
      <c r="AP357" s="9"/>
      <c r="AQ357" s="9"/>
      <c r="AS357" s="31"/>
    </row>
    <row r="358" spans="1:45">
      <c r="A358" s="13">
        <v>27942</v>
      </c>
      <c r="B358" s="3">
        <v>44.040100000000002</v>
      </c>
      <c r="C358" s="24">
        <v>89093</v>
      </c>
      <c r="D358" s="24">
        <v>79546</v>
      </c>
      <c r="E358" s="2">
        <v>7.8</v>
      </c>
      <c r="F358" s="33">
        <v>-7.2020000000000001E-3</v>
      </c>
      <c r="G358" s="33">
        <v>-8.0549999999999997E-3</v>
      </c>
      <c r="H358" s="25">
        <v>8.56</v>
      </c>
      <c r="I358" s="25">
        <v>9.82</v>
      </c>
      <c r="J358" s="25">
        <v>5.31</v>
      </c>
      <c r="K358" s="25">
        <v>5.79</v>
      </c>
      <c r="L358" s="25">
        <v>5.23</v>
      </c>
      <c r="M358" s="33">
        <v>34.700000000000003</v>
      </c>
      <c r="N358">
        <v>-3.3182</v>
      </c>
      <c r="O358" s="31">
        <v>214.1</v>
      </c>
      <c r="P358" s="38">
        <v>73.855940000000004</v>
      </c>
      <c r="Q358" s="22">
        <v>-0.13910303151299999</v>
      </c>
      <c r="R358" s="38">
        <v>5.7813000000000003E-2</v>
      </c>
      <c r="T358" s="2"/>
      <c r="U358" s="2"/>
      <c r="V358" s="24"/>
      <c r="W358" s="24"/>
      <c r="X358" s="24"/>
      <c r="Y358" s="24"/>
      <c r="Z358" s="24"/>
      <c r="AA358" s="24"/>
      <c r="AB358" s="24"/>
      <c r="AC358" s="25"/>
      <c r="AD358" s="25"/>
      <c r="AE358" s="25"/>
      <c r="AF358" s="25"/>
      <c r="AG358" s="25"/>
      <c r="AH358" s="16"/>
      <c r="AI358" s="25"/>
      <c r="AJ358" s="25"/>
      <c r="AL358" s="3"/>
      <c r="AM358" s="22"/>
      <c r="AN358" s="9"/>
      <c r="AO358" s="9"/>
      <c r="AP358" s="9"/>
      <c r="AQ358" s="9"/>
      <c r="AS358" s="9"/>
    </row>
    <row r="359" spans="1:45">
      <c r="A359" s="13">
        <v>27973</v>
      </c>
      <c r="B359" s="3">
        <v>44.334299999999999</v>
      </c>
      <c r="C359" s="24">
        <v>89223</v>
      </c>
      <c r="D359" s="24">
        <v>79704</v>
      </c>
      <c r="E359" s="2">
        <v>7.8</v>
      </c>
      <c r="F359" s="33">
        <v>1.5989999999999999E-3</v>
      </c>
      <c r="G359" s="33">
        <v>-5.1240000000000001E-3</v>
      </c>
      <c r="H359" s="25">
        <v>8.4499999999999993</v>
      </c>
      <c r="I359" s="25">
        <v>9.64</v>
      </c>
      <c r="J359" s="25">
        <v>5.29</v>
      </c>
      <c r="K359" s="25">
        <v>5.68</v>
      </c>
      <c r="L359" s="25">
        <v>5.14</v>
      </c>
      <c r="M359" s="33">
        <v>34.700000000000003</v>
      </c>
      <c r="N359">
        <v>-1.6337999999999999</v>
      </c>
      <c r="O359" s="31">
        <v>209.6</v>
      </c>
      <c r="P359" s="38">
        <v>126.85469999999999</v>
      </c>
      <c r="Q359" s="22">
        <v>-4.3825117650000002E-2</v>
      </c>
      <c r="R359" s="38">
        <v>-2.6769000000000001E-2</v>
      </c>
      <c r="T359" s="2"/>
      <c r="U359" s="2"/>
      <c r="V359" s="24"/>
      <c r="W359" s="24"/>
      <c r="X359" s="24"/>
      <c r="Y359" s="24"/>
      <c r="Z359" s="24"/>
      <c r="AA359" s="24"/>
      <c r="AB359" s="24"/>
      <c r="AC359" s="25"/>
      <c r="AD359" s="25"/>
      <c r="AE359" s="25"/>
      <c r="AF359" s="25"/>
      <c r="AG359" s="25"/>
      <c r="AH359" s="16"/>
      <c r="AI359" s="25"/>
      <c r="AJ359" s="25"/>
      <c r="AL359" s="3"/>
      <c r="AM359" s="22"/>
      <c r="AN359" s="9"/>
      <c r="AO359" s="9"/>
      <c r="AP359" s="9"/>
      <c r="AQ359" s="9"/>
      <c r="AS359" s="31"/>
    </row>
    <row r="360" spans="1:45">
      <c r="A360" s="13">
        <v>28004</v>
      </c>
      <c r="B360" s="3">
        <v>44.469700000000003</v>
      </c>
      <c r="C360" s="24">
        <v>89173</v>
      </c>
      <c r="D360" s="24">
        <v>79892</v>
      </c>
      <c r="E360" s="2">
        <v>7.6</v>
      </c>
      <c r="F360" s="33">
        <v>2.4421000000000002E-2</v>
      </c>
      <c r="G360" s="33">
        <v>2.2641000000000001E-2</v>
      </c>
      <c r="H360" s="25">
        <v>8.3800000000000008</v>
      </c>
      <c r="I360" s="25">
        <v>9.4</v>
      </c>
      <c r="J360" s="25">
        <v>5.25</v>
      </c>
      <c r="K360" s="25">
        <v>5.53</v>
      </c>
      <c r="L360" s="25">
        <v>5.08</v>
      </c>
      <c r="M360" s="33">
        <v>34.700000000000003</v>
      </c>
      <c r="N360">
        <v>-0.80476999999999999</v>
      </c>
      <c r="O360" s="31">
        <v>206.2</v>
      </c>
      <c r="P360" s="38">
        <v>81.68468</v>
      </c>
      <c r="Q360" s="22">
        <v>1.8862083086E-2</v>
      </c>
      <c r="R360" s="38">
        <v>-3.5603999999999997E-2</v>
      </c>
      <c r="T360" s="2"/>
      <c r="U360" s="2"/>
      <c r="V360" s="24"/>
      <c r="W360" s="24"/>
      <c r="X360" s="24"/>
      <c r="Y360" s="24"/>
      <c r="Z360" s="24"/>
      <c r="AA360" s="24"/>
      <c r="AB360" s="24"/>
      <c r="AC360" s="25"/>
      <c r="AD360" s="25"/>
      <c r="AE360" s="25"/>
      <c r="AF360" s="25"/>
      <c r="AG360" s="25"/>
      <c r="AH360" s="16"/>
      <c r="AI360" s="25"/>
      <c r="AJ360" s="25"/>
      <c r="AL360" s="3"/>
      <c r="AM360" s="22"/>
      <c r="AN360" s="9"/>
      <c r="AO360" s="9"/>
      <c r="AP360" s="9"/>
      <c r="AQ360" s="9"/>
      <c r="AS360" s="9"/>
    </row>
    <row r="361" spans="1:45">
      <c r="A361" s="13">
        <v>28034</v>
      </c>
      <c r="B361" s="3">
        <v>44.494</v>
      </c>
      <c r="C361" s="24">
        <v>89274</v>
      </c>
      <c r="D361" s="24">
        <v>79905</v>
      </c>
      <c r="E361" s="2">
        <v>7.7</v>
      </c>
      <c r="F361" s="33">
        <v>-2.0211E-2</v>
      </c>
      <c r="G361" s="33">
        <v>-2.2235000000000001E-2</v>
      </c>
      <c r="H361" s="25">
        <v>8.32</v>
      </c>
      <c r="I361" s="25">
        <v>9.2899999999999991</v>
      </c>
      <c r="J361" s="25">
        <v>5.0199999999999996</v>
      </c>
      <c r="K361" s="25">
        <v>5.46</v>
      </c>
      <c r="L361" s="25">
        <v>4.92</v>
      </c>
      <c r="M361" s="33">
        <v>36.1</v>
      </c>
      <c r="N361">
        <v>-2.8957000000000002</v>
      </c>
      <c r="O361" s="31">
        <v>201.6</v>
      </c>
      <c r="P361" s="38">
        <v>108.98399999999999</v>
      </c>
      <c r="Q361" s="22">
        <v>-4.1394100404000003E-2</v>
      </c>
      <c r="R361" s="38">
        <v>7.7689999999999999E-3</v>
      </c>
      <c r="T361" s="2"/>
      <c r="U361" s="2"/>
      <c r="V361" s="24"/>
      <c r="W361" s="24"/>
      <c r="X361" s="24"/>
      <c r="Y361" s="24"/>
      <c r="Z361" s="24"/>
      <c r="AA361" s="24"/>
      <c r="AB361" s="24"/>
      <c r="AC361" s="25"/>
      <c r="AD361" s="25"/>
      <c r="AE361" s="25"/>
      <c r="AF361" s="25"/>
      <c r="AG361" s="25"/>
      <c r="AH361" s="16"/>
      <c r="AI361" s="25"/>
      <c r="AJ361" s="25"/>
      <c r="AL361" s="3"/>
      <c r="AM361" s="22"/>
      <c r="AN361" s="9"/>
      <c r="AO361" s="9"/>
      <c r="AP361" s="9"/>
      <c r="AQ361" s="9"/>
      <c r="AS361" s="31"/>
    </row>
    <row r="362" spans="1:45">
      <c r="A362" s="13">
        <v>28065</v>
      </c>
      <c r="B362" s="3">
        <v>45.150100000000002</v>
      </c>
      <c r="C362" s="24">
        <v>89634</v>
      </c>
      <c r="D362" s="24">
        <v>80237</v>
      </c>
      <c r="E362" s="2">
        <v>7.8</v>
      </c>
      <c r="F362" s="33">
        <v>-1.041E-3</v>
      </c>
      <c r="G362" s="33">
        <v>-7.7749999999999998E-3</v>
      </c>
      <c r="H362" s="25">
        <v>8.25</v>
      </c>
      <c r="I362" s="25">
        <v>9.23</v>
      </c>
      <c r="J362" s="25">
        <v>4.95</v>
      </c>
      <c r="K362" s="25">
        <v>5.29</v>
      </c>
      <c r="L362" s="25">
        <v>4.75</v>
      </c>
      <c r="M362" s="33">
        <v>36.1</v>
      </c>
      <c r="N362">
        <v>-0.32983000000000001</v>
      </c>
      <c r="O362" s="31">
        <v>201</v>
      </c>
      <c r="P362" s="38">
        <v>162.82579999999999</v>
      </c>
      <c r="Q362" s="22">
        <v>3.0113032562E-2</v>
      </c>
      <c r="R362" s="38">
        <v>-0.179839</v>
      </c>
      <c r="T362" s="2"/>
      <c r="U362" s="2"/>
      <c r="V362" s="24"/>
      <c r="W362" s="24"/>
      <c r="X362" s="24"/>
      <c r="Y362" s="24"/>
      <c r="Z362" s="24"/>
      <c r="AA362" s="24"/>
      <c r="AB362" s="24"/>
      <c r="AC362" s="25"/>
      <c r="AD362" s="25"/>
      <c r="AE362" s="25"/>
      <c r="AF362" s="25"/>
      <c r="AG362" s="25"/>
      <c r="AH362" s="16"/>
      <c r="AI362" s="25"/>
      <c r="AJ362" s="25"/>
      <c r="AL362" s="3"/>
      <c r="AM362" s="22"/>
      <c r="AN362" s="9"/>
      <c r="AO362" s="9"/>
      <c r="AP362" s="9"/>
      <c r="AQ362" s="9"/>
      <c r="AS362" s="9"/>
    </row>
    <row r="363" spans="1:45">
      <c r="A363" s="13">
        <v>28095</v>
      </c>
      <c r="B363" s="3">
        <v>45.619500000000002</v>
      </c>
      <c r="C363" s="24">
        <v>89803</v>
      </c>
      <c r="D363" s="24">
        <v>80448</v>
      </c>
      <c r="E363" s="2">
        <v>7.8</v>
      </c>
      <c r="F363" s="33">
        <v>5.3775000000000003E-2</v>
      </c>
      <c r="G363" s="33">
        <v>5.2498000000000003E-2</v>
      </c>
      <c r="H363" s="25">
        <v>7.98</v>
      </c>
      <c r="I363" s="25">
        <v>9.1199999999999992</v>
      </c>
      <c r="J363" s="25">
        <v>4.6500000000000004</v>
      </c>
      <c r="K363" s="25">
        <v>5.01</v>
      </c>
      <c r="L363" s="25">
        <v>4.3499999999999996</v>
      </c>
      <c r="M363" s="33">
        <v>36.1</v>
      </c>
      <c r="N363">
        <v>-2.0926999999999998</v>
      </c>
      <c r="O363" s="31">
        <v>203.2</v>
      </c>
      <c r="P363" s="38">
        <v>104.4816</v>
      </c>
      <c r="Q363" s="22">
        <v>-0.130775229415</v>
      </c>
      <c r="R363" s="38">
        <v>3.8274000000000002E-2</v>
      </c>
      <c r="T363" s="2"/>
      <c r="U363" s="2"/>
      <c r="V363" s="24"/>
      <c r="W363" s="24"/>
      <c r="X363" s="24"/>
      <c r="Y363" s="24"/>
      <c r="Z363" s="24"/>
      <c r="AA363" s="24"/>
      <c r="AB363" s="24"/>
      <c r="AC363" s="25"/>
      <c r="AD363" s="25"/>
      <c r="AE363" s="25"/>
      <c r="AF363" s="25"/>
      <c r="AG363" s="25"/>
      <c r="AH363" s="16"/>
      <c r="AI363" s="25"/>
      <c r="AJ363" s="25"/>
      <c r="AL363" s="3"/>
      <c r="AM363" s="22"/>
      <c r="AN363" s="9"/>
      <c r="AO363" s="9"/>
      <c r="AP363" s="9"/>
      <c r="AQ363" s="9"/>
      <c r="AS363" s="31"/>
    </row>
    <row r="364" spans="1:45">
      <c r="A364" s="13">
        <v>28126</v>
      </c>
      <c r="B364" s="3">
        <v>45.356299999999997</v>
      </c>
      <c r="C364" s="24">
        <v>89928</v>
      </c>
      <c r="D364" s="24">
        <v>80692</v>
      </c>
      <c r="E364" s="2">
        <v>7.5</v>
      </c>
      <c r="F364" s="33">
        <v>-4.9653999999999997E-2</v>
      </c>
      <c r="G364" s="33">
        <v>-5.0529999999999999E-2</v>
      </c>
      <c r="H364" s="25">
        <v>7.96</v>
      </c>
      <c r="I364" s="25">
        <v>9.08</v>
      </c>
      <c r="J364" s="25">
        <v>4.6100000000000003</v>
      </c>
      <c r="K364" s="25">
        <v>5.14</v>
      </c>
      <c r="L364" s="25">
        <v>4.62</v>
      </c>
      <c r="M364" s="33">
        <v>35.799999999999997</v>
      </c>
      <c r="N364">
        <v>-0.34464</v>
      </c>
      <c r="O364" s="31">
        <v>210.2</v>
      </c>
      <c r="P364" s="38">
        <v>145.9076</v>
      </c>
      <c r="Q364" s="22">
        <v>-9.6514114708999996E-2</v>
      </c>
      <c r="R364" s="38">
        <v>-0.18095600000000001</v>
      </c>
      <c r="T364" s="2"/>
      <c r="U364" s="2"/>
      <c r="V364" s="24"/>
      <c r="W364" s="24"/>
      <c r="X364" s="24"/>
      <c r="Y364" s="24"/>
      <c r="Z364" s="24"/>
      <c r="AA364" s="24"/>
      <c r="AB364" s="24"/>
      <c r="AC364" s="25"/>
      <c r="AD364" s="25"/>
      <c r="AE364" s="25"/>
      <c r="AF364" s="25"/>
      <c r="AG364" s="25"/>
      <c r="AH364" s="16"/>
      <c r="AI364" s="25"/>
      <c r="AJ364" s="25"/>
      <c r="AL364" s="3"/>
      <c r="AM364" s="22"/>
      <c r="AN364" s="9"/>
      <c r="AO364" s="9"/>
      <c r="AP364" s="9"/>
      <c r="AQ364" s="9"/>
      <c r="AS364" s="9"/>
    </row>
    <row r="365" spans="1:45">
      <c r="A365" s="13">
        <v>28157</v>
      </c>
      <c r="B365" s="3">
        <v>46.025500000000001</v>
      </c>
      <c r="C365" s="24">
        <v>90342</v>
      </c>
      <c r="D365" s="24">
        <v>80987</v>
      </c>
      <c r="E365" s="2">
        <v>7.6</v>
      </c>
      <c r="F365" s="33">
        <v>-1.5637999999999999E-2</v>
      </c>
      <c r="G365" s="33">
        <v>-2.1659999999999999E-2</v>
      </c>
      <c r="H365" s="25">
        <v>8.0399999999999991</v>
      </c>
      <c r="I365" s="25">
        <v>9.1199999999999992</v>
      </c>
      <c r="J365" s="25">
        <v>4.68</v>
      </c>
      <c r="K365" s="25">
        <v>5.08</v>
      </c>
      <c r="L365" s="25">
        <v>4.67</v>
      </c>
      <c r="M365" s="33">
        <v>37.4</v>
      </c>
      <c r="N365">
        <v>-0.51770000000000005</v>
      </c>
      <c r="O365" s="31">
        <v>216.4</v>
      </c>
      <c r="P365" s="38">
        <v>88.684849999999997</v>
      </c>
      <c r="Q365" s="22">
        <v>-8.4712720000000005E-2</v>
      </c>
      <c r="R365" s="38">
        <v>-9.0747999999999995E-2</v>
      </c>
      <c r="T365" s="2"/>
      <c r="U365" s="2"/>
      <c r="V365" s="24"/>
      <c r="W365" s="24"/>
      <c r="X365" s="24"/>
      <c r="Y365" s="24"/>
      <c r="Z365" s="24"/>
      <c r="AA365" s="24"/>
      <c r="AB365" s="24"/>
      <c r="AC365" s="25"/>
      <c r="AD365" s="25"/>
      <c r="AE365" s="25"/>
      <c r="AF365" s="25"/>
      <c r="AG365" s="25"/>
      <c r="AH365" s="16"/>
      <c r="AI365" s="25"/>
      <c r="AJ365" s="25"/>
      <c r="AL365" s="3"/>
      <c r="AM365" s="22"/>
      <c r="AN365" s="9"/>
      <c r="AO365" s="9"/>
      <c r="AP365" s="9"/>
      <c r="AQ365" s="9"/>
      <c r="AS365" s="31"/>
    </row>
    <row r="366" spans="1:45">
      <c r="A366" s="13">
        <v>28185</v>
      </c>
      <c r="B366" s="3">
        <v>46.596600000000002</v>
      </c>
      <c r="C366" s="24">
        <v>90808</v>
      </c>
      <c r="D366" s="24">
        <v>81391</v>
      </c>
      <c r="E366" s="2">
        <v>7.4</v>
      </c>
      <c r="F366" s="33">
        <v>-1.2501999999999999E-2</v>
      </c>
      <c r="G366" s="33">
        <v>-1.4024999999999999E-2</v>
      </c>
      <c r="H366" s="25">
        <v>8.1</v>
      </c>
      <c r="I366" s="25">
        <v>9.1199999999999992</v>
      </c>
      <c r="J366" s="25">
        <v>4.6900000000000004</v>
      </c>
      <c r="K366" s="25">
        <v>5.13</v>
      </c>
      <c r="L366" s="25">
        <v>4.5999999999999996</v>
      </c>
      <c r="M366" s="33">
        <v>36.799999999999997</v>
      </c>
      <c r="N366">
        <v>-1.3478000000000001</v>
      </c>
      <c r="O366" s="31">
        <v>222.8</v>
      </c>
      <c r="P366" s="38">
        <v>95.158600000000007</v>
      </c>
      <c r="Q366" s="22">
        <v>-0.22821799361799999</v>
      </c>
      <c r="R366" s="38">
        <v>4.0991E-2</v>
      </c>
      <c r="T366" s="2"/>
      <c r="U366" s="2"/>
      <c r="V366" s="24"/>
      <c r="W366" s="24"/>
      <c r="X366" s="24"/>
      <c r="Y366" s="24"/>
      <c r="Z366" s="24"/>
      <c r="AA366" s="24"/>
      <c r="AB366" s="24"/>
      <c r="AC366" s="25"/>
      <c r="AD366" s="25"/>
      <c r="AE366" s="25"/>
      <c r="AF366" s="25"/>
      <c r="AG366" s="25"/>
      <c r="AH366" s="16"/>
      <c r="AI366" s="25"/>
      <c r="AJ366" s="25"/>
      <c r="AL366" s="3"/>
      <c r="AM366" s="22"/>
      <c r="AN366" s="9"/>
      <c r="AO366" s="9"/>
      <c r="AP366" s="9"/>
      <c r="AQ366" s="9"/>
      <c r="AS366" s="9"/>
    </row>
    <row r="367" spans="1:45">
      <c r="A367" s="13">
        <v>28216</v>
      </c>
      <c r="B367" s="3">
        <v>47.0473</v>
      </c>
      <c r="C367" s="24">
        <v>91271</v>
      </c>
      <c r="D367" s="24">
        <v>81730</v>
      </c>
      <c r="E367" s="2">
        <v>7.2</v>
      </c>
      <c r="F367" s="33">
        <v>6.4099999999999997E-4</v>
      </c>
      <c r="G367" s="33">
        <v>2.03E-4</v>
      </c>
      <c r="H367" s="25">
        <v>8.0399999999999991</v>
      </c>
      <c r="I367" s="25">
        <v>9.07</v>
      </c>
      <c r="J367" s="25">
        <v>4.7300000000000004</v>
      </c>
      <c r="K367" s="25">
        <v>5.16</v>
      </c>
      <c r="L367" s="25">
        <v>4.54</v>
      </c>
      <c r="M367" s="33">
        <v>37</v>
      </c>
      <c r="N367">
        <v>-1.7361</v>
      </c>
      <c r="O367" s="31">
        <v>221.9</v>
      </c>
      <c r="P367" s="38">
        <v>137.86359999999999</v>
      </c>
      <c r="Q367" s="22">
        <v>-4.8979031407000002E-2</v>
      </c>
      <c r="R367" s="38">
        <v>1.2638999999999999E-2</v>
      </c>
      <c r="T367" s="2"/>
      <c r="U367" s="2"/>
      <c r="V367" s="24"/>
      <c r="W367" s="24"/>
      <c r="X367" s="24"/>
      <c r="Y367" s="24"/>
      <c r="Z367" s="24"/>
      <c r="AA367" s="24"/>
      <c r="AB367" s="24"/>
      <c r="AC367" s="25"/>
      <c r="AD367" s="25"/>
      <c r="AE367" s="25"/>
      <c r="AF367" s="25"/>
      <c r="AG367" s="25"/>
      <c r="AH367" s="16"/>
      <c r="AI367" s="25"/>
      <c r="AJ367" s="25"/>
      <c r="AL367" s="3"/>
      <c r="AM367" s="22"/>
      <c r="AN367" s="9"/>
      <c r="AO367" s="9"/>
      <c r="AP367" s="9"/>
      <c r="AQ367" s="9"/>
      <c r="AS367" s="31"/>
    </row>
    <row r="368" spans="1:45">
      <c r="A368" s="13">
        <v>28246</v>
      </c>
      <c r="B368" s="3">
        <v>47.444200000000002</v>
      </c>
      <c r="C368" s="24">
        <v>91754</v>
      </c>
      <c r="D368" s="24">
        <v>82089</v>
      </c>
      <c r="E368" s="2">
        <v>7</v>
      </c>
      <c r="F368" s="33">
        <v>-1.5063999999999999E-2</v>
      </c>
      <c r="G368" s="33">
        <v>-2.3567999999999999E-2</v>
      </c>
      <c r="H368" s="25">
        <v>8.0500000000000007</v>
      </c>
      <c r="I368" s="25">
        <v>9.01</v>
      </c>
      <c r="J368" s="25">
        <v>5.35</v>
      </c>
      <c r="K368" s="25">
        <v>5.8</v>
      </c>
      <c r="L368" s="25">
        <v>4.96</v>
      </c>
      <c r="M368" s="33">
        <v>37</v>
      </c>
      <c r="N368">
        <v>2.9163999999999999</v>
      </c>
      <c r="O368" s="31">
        <v>218.1</v>
      </c>
      <c r="P368" s="38">
        <v>120.1007</v>
      </c>
      <c r="Q368" s="22">
        <v>-5.0660541891999998E-2</v>
      </c>
      <c r="R368" s="38">
        <v>-9.4578999999999996E-2</v>
      </c>
      <c r="T368" s="2"/>
      <c r="U368" s="2"/>
      <c r="V368" s="24"/>
      <c r="W368" s="24"/>
      <c r="X368" s="24"/>
      <c r="Y368" s="24"/>
      <c r="Z368" s="24"/>
      <c r="AA368" s="24"/>
      <c r="AB368" s="24"/>
      <c r="AC368" s="25"/>
      <c r="AD368" s="25"/>
      <c r="AE368" s="25"/>
      <c r="AF368" s="25"/>
      <c r="AG368" s="25"/>
      <c r="AH368" s="16"/>
      <c r="AI368" s="25"/>
      <c r="AJ368" s="25"/>
      <c r="AL368" s="3"/>
      <c r="AM368" s="22"/>
      <c r="AN368" s="9"/>
      <c r="AO368" s="9"/>
      <c r="AP368" s="9"/>
      <c r="AQ368" s="9"/>
      <c r="AS368" s="9"/>
    </row>
    <row r="369" spans="1:45">
      <c r="A369" s="13">
        <v>28277</v>
      </c>
      <c r="B369" s="3">
        <v>47.797199999999997</v>
      </c>
      <c r="C369" s="24">
        <v>91959</v>
      </c>
      <c r="D369" s="24">
        <v>82488</v>
      </c>
      <c r="E369" s="2">
        <v>7.2</v>
      </c>
      <c r="F369" s="33">
        <v>4.7775999999999999E-2</v>
      </c>
      <c r="G369" s="33">
        <v>4.5359999999999998E-2</v>
      </c>
      <c r="H369" s="25">
        <v>7.95</v>
      </c>
      <c r="I369" s="25">
        <v>8.91</v>
      </c>
      <c r="J369" s="25">
        <v>5.39</v>
      </c>
      <c r="K369" s="25">
        <v>5.78</v>
      </c>
      <c r="L369" s="25">
        <v>5.0199999999999996</v>
      </c>
      <c r="M369" s="33">
        <v>37.1</v>
      </c>
      <c r="N369">
        <v>-2.0710999999999999</v>
      </c>
      <c r="O369" s="31">
        <v>206.4</v>
      </c>
      <c r="P369" s="38">
        <v>122.9605</v>
      </c>
      <c r="Q369" s="22">
        <v>-0.14558370434000001</v>
      </c>
      <c r="R369" s="38">
        <v>-0.158056</v>
      </c>
      <c r="T369" s="2"/>
      <c r="U369" s="2"/>
      <c r="V369" s="24"/>
      <c r="W369" s="24"/>
      <c r="X369" s="24"/>
      <c r="Y369" s="24"/>
      <c r="Z369" s="24"/>
      <c r="AA369" s="24"/>
      <c r="AB369" s="24"/>
      <c r="AC369" s="25"/>
      <c r="AD369" s="25"/>
      <c r="AE369" s="25"/>
      <c r="AF369" s="25"/>
      <c r="AG369" s="25"/>
      <c r="AH369" s="16"/>
      <c r="AI369" s="25"/>
      <c r="AJ369" s="25"/>
      <c r="AL369" s="3"/>
      <c r="AM369" s="22"/>
      <c r="AN369" s="9"/>
      <c r="AO369" s="9"/>
      <c r="AP369" s="9"/>
      <c r="AQ369" s="9"/>
      <c r="AS369" s="31"/>
    </row>
    <row r="370" spans="1:45">
      <c r="A370" s="13">
        <v>28307</v>
      </c>
      <c r="B370" s="3">
        <v>47.868400000000001</v>
      </c>
      <c r="C370" s="24">
        <v>92084</v>
      </c>
      <c r="D370" s="24">
        <v>82836</v>
      </c>
      <c r="E370" s="2">
        <v>6.9</v>
      </c>
      <c r="F370" s="33">
        <v>-1.5453E-2</v>
      </c>
      <c r="G370" s="33">
        <v>-1.6222E-2</v>
      </c>
      <c r="H370" s="25">
        <v>7.94</v>
      </c>
      <c r="I370" s="25">
        <v>8.8699999999999992</v>
      </c>
      <c r="J370" s="25">
        <v>5.42</v>
      </c>
      <c r="K370" s="25">
        <v>5.8</v>
      </c>
      <c r="L370" s="25">
        <v>5.19</v>
      </c>
      <c r="M370" s="33">
        <v>36.9</v>
      </c>
      <c r="N370">
        <v>-0.69177999999999995</v>
      </c>
      <c r="O370" s="31">
        <v>204.1</v>
      </c>
      <c r="P370" s="38">
        <v>126.93680000000001</v>
      </c>
      <c r="Q370" s="22">
        <v>-0.23964891952100001</v>
      </c>
      <c r="R370" s="38">
        <v>-8.1380999999999995E-2</v>
      </c>
      <c r="T370" s="2"/>
      <c r="U370" s="2"/>
      <c r="V370" s="24"/>
      <c r="W370" s="24"/>
      <c r="X370" s="24"/>
      <c r="Y370" s="24"/>
      <c r="Z370" s="24"/>
      <c r="AA370" s="24"/>
      <c r="AB370" s="24"/>
      <c r="AC370" s="25"/>
      <c r="AD370" s="25"/>
      <c r="AE370" s="25"/>
      <c r="AF370" s="25"/>
      <c r="AG370" s="25"/>
      <c r="AH370" s="16"/>
      <c r="AI370" s="25"/>
      <c r="AJ370" s="25"/>
      <c r="AL370" s="3"/>
      <c r="AM370" s="22"/>
      <c r="AN370" s="9"/>
      <c r="AO370" s="9"/>
      <c r="AP370" s="9"/>
      <c r="AQ370" s="9"/>
      <c r="AS370" s="31"/>
    </row>
    <row r="371" spans="1:45">
      <c r="A371" s="13">
        <v>28338</v>
      </c>
      <c r="B371" s="3">
        <v>47.889000000000003</v>
      </c>
      <c r="C371" s="24">
        <v>92441</v>
      </c>
      <c r="D371" s="24">
        <v>83074</v>
      </c>
      <c r="E371" s="2">
        <v>7</v>
      </c>
      <c r="F371" s="33">
        <v>-1.231E-2</v>
      </c>
      <c r="G371" s="33">
        <v>-2.1042000000000002E-2</v>
      </c>
      <c r="H371" s="25">
        <v>7.98</v>
      </c>
      <c r="I371" s="25">
        <v>8.82</v>
      </c>
      <c r="J371" s="25">
        <v>5.9</v>
      </c>
      <c r="K371" s="25">
        <v>6.3</v>
      </c>
      <c r="L371" s="25">
        <v>5.49</v>
      </c>
      <c r="M371" s="33">
        <v>37.299999999999997</v>
      </c>
      <c r="N371">
        <v>2.0855999999999999</v>
      </c>
      <c r="O371" s="31">
        <v>202.7</v>
      </c>
      <c r="P371" s="38">
        <v>107.6469</v>
      </c>
      <c r="Q371" s="22">
        <v>3.0461662117999999E-2</v>
      </c>
      <c r="R371" s="38">
        <v>-0.14485999999999999</v>
      </c>
      <c r="T371" s="2"/>
      <c r="U371" s="2"/>
      <c r="V371" s="24"/>
      <c r="W371" s="24"/>
      <c r="X371" s="24"/>
      <c r="Y371" s="24"/>
      <c r="Z371" s="24"/>
      <c r="AA371" s="24"/>
      <c r="AB371" s="24"/>
      <c r="AC371" s="25"/>
      <c r="AD371" s="25"/>
      <c r="AE371" s="25"/>
      <c r="AF371" s="25"/>
      <c r="AG371" s="25"/>
      <c r="AH371" s="16"/>
      <c r="AI371" s="25"/>
      <c r="AJ371" s="25"/>
      <c r="AL371" s="3"/>
      <c r="AM371" s="22"/>
      <c r="AN371" s="9"/>
      <c r="AO371" s="9"/>
      <c r="AP371" s="9"/>
      <c r="AQ371" s="9"/>
      <c r="AS371" s="31"/>
    </row>
    <row r="372" spans="1:45">
      <c r="A372" s="13">
        <v>28369</v>
      </c>
      <c r="B372" s="3">
        <v>48.125999999999998</v>
      </c>
      <c r="C372" s="24">
        <v>92702</v>
      </c>
      <c r="D372" s="24">
        <v>83532</v>
      </c>
      <c r="E372" s="2">
        <v>6.8</v>
      </c>
      <c r="F372" s="33">
        <v>-8.25E-4</v>
      </c>
      <c r="G372" s="33">
        <v>-2.48E-3</v>
      </c>
      <c r="H372" s="25">
        <v>7.92</v>
      </c>
      <c r="I372" s="25">
        <v>8.8000000000000007</v>
      </c>
      <c r="J372" s="25">
        <v>6.14</v>
      </c>
      <c r="K372" s="25">
        <v>6.56</v>
      </c>
      <c r="L372" s="25">
        <v>5.81</v>
      </c>
      <c r="M372" s="33">
        <v>37.6</v>
      </c>
      <c r="N372">
        <v>0.78471999999999997</v>
      </c>
      <c r="O372" s="31">
        <v>202.9</v>
      </c>
      <c r="P372" s="38">
        <v>138.20740000000001</v>
      </c>
      <c r="Q372" s="22">
        <v>7.3246685130000003E-2</v>
      </c>
      <c r="R372" s="38">
        <v>-9.1441999999999996E-2</v>
      </c>
      <c r="T372" s="2"/>
      <c r="U372" s="2"/>
      <c r="V372" s="24"/>
      <c r="W372" s="24"/>
      <c r="X372" s="24"/>
      <c r="Y372" s="24"/>
      <c r="Z372" s="24"/>
      <c r="AA372" s="24"/>
      <c r="AB372" s="24"/>
      <c r="AC372" s="25"/>
      <c r="AD372" s="25"/>
      <c r="AE372" s="25"/>
      <c r="AF372" s="25"/>
      <c r="AG372" s="25"/>
      <c r="AH372" s="16"/>
      <c r="AI372" s="25"/>
      <c r="AJ372" s="25"/>
      <c r="AL372" s="3"/>
      <c r="AM372" s="22"/>
      <c r="AN372" s="9"/>
      <c r="AO372" s="9"/>
      <c r="AP372" s="9"/>
      <c r="AQ372" s="9"/>
      <c r="AS372" s="31"/>
    </row>
    <row r="373" spans="1:45">
      <c r="A373" s="13">
        <v>28399</v>
      </c>
      <c r="B373" s="3">
        <v>48.249099999999999</v>
      </c>
      <c r="C373" s="24">
        <v>93052</v>
      </c>
      <c r="D373" s="24">
        <v>83794</v>
      </c>
      <c r="E373" s="2">
        <v>6.8</v>
      </c>
      <c r="F373" s="33">
        <v>-4.1984E-2</v>
      </c>
      <c r="G373" s="33">
        <v>-4.3406E-2</v>
      </c>
      <c r="H373" s="25">
        <v>8.0399999999999991</v>
      </c>
      <c r="I373" s="25">
        <v>8.89</v>
      </c>
      <c r="J373" s="25">
        <v>6.47</v>
      </c>
      <c r="K373" s="25">
        <v>7.14</v>
      </c>
      <c r="L373" s="25">
        <v>6.16</v>
      </c>
      <c r="M373" s="33">
        <v>38</v>
      </c>
      <c r="N373">
        <v>1.4931000000000001</v>
      </c>
      <c r="O373" s="31">
        <v>204.7</v>
      </c>
      <c r="P373" s="38">
        <v>165.2533</v>
      </c>
      <c r="Q373" s="22">
        <v>-2.5861244019000001E-2</v>
      </c>
      <c r="R373" s="38">
        <v>-0.111084</v>
      </c>
      <c r="T373" s="2"/>
      <c r="U373" s="2"/>
      <c r="V373" s="24"/>
      <c r="W373" s="24"/>
      <c r="X373" s="24"/>
      <c r="Y373" s="24"/>
      <c r="Z373" s="24"/>
      <c r="AA373" s="24"/>
      <c r="AB373" s="24"/>
      <c r="AC373" s="25"/>
      <c r="AD373" s="25"/>
      <c r="AE373" s="25"/>
      <c r="AF373" s="25"/>
      <c r="AG373" s="25"/>
      <c r="AH373" s="16"/>
      <c r="AI373" s="25"/>
      <c r="AJ373" s="25"/>
      <c r="AL373" s="3"/>
      <c r="AM373" s="22"/>
      <c r="AN373" s="9"/>
      <c r="AO373" s="9"/>
      <c r="AP373" s="9"/>
      <c r="AQ373" s="9"/>
      <c r="AS373" s="31"/>
    </row>
    <row r="374" spans="1:45">
      <c r="A374" s="13">
        <v>28430</v>
      </c>
      <c r="B374" s="3">
        <v>48.261099999999999</v>
      </c>
      <c r="C374" s="24">
        <v>93761</v>
      </c>
      <c r="D374" s="24">
        <v>84173</v>
      </c>
      <c r="E374" s="2">
        <v>6.8</v>
      </c>
      <c r="F374" s="33">
        <v>3.6752E-2</v>
      </c>
      <c r="G374" s="33">
        <v>2.6966E-2</v>
      </c>
      <c r="H374" s="25">
        <v>8.08</v>
      </c>
      <c r="I374" s="25">
        <v>8.9499999999999993</v>
      </c>
      <c r="J374" s="25">
        <v>6.51</v>
      </c>
      <c r="K374" s="25">
        <v>7.09</v>
      </c>
      <c r="L374" s="25">
        <v>6.1</v>
      </c>
      <c r="M374" s="33">
        <v>38.6</v>
      </c>
      <c r="N374">
        <v>8.5407999999999998E-2</v>
      </c>
      <c r="O374" s="31">
        <v>203.8</v>
      </c>
      <c r="P374" s="38">
        <v>139.5864</v>
      </c>
      <c r="Q374" s="22">
        <v>-4.8292817432E-2</v>
      </c>
      <c r="R374" s="38">
        <v>-9.4187999999999994E-2</v>
      </c>
      <c r="T374" s="2"/>
      <c r="U374" s="2"/>
      <c r="V374" s="24"/>
      <c r="W374" s="24"/>
      <c r="X374" s="24"/>
      <c r="Y374" s="24"/>
      <c r="Z374" s="24"/>
      <c r="AA374" s="24"/>
      <c r="AB374" s="24"/>
      <c r="AC374" s="25"/>
      <c r="AD374" s="25"/>
      <c r="AE374" s="25"/>
      <c r="AF374" s="25"/>
      <c r="AG374" s="25"/>
      <c r="AH374" s="16"/>
      <c r="AI374" s="25"/>
      <c r="AJ374" s="25"/>
      <c r="AL374" s="3"/>
      <c r="AM374" s="22"/>
      <c r="AN374" s="9"/>
      <c r="AO374" s="9"/>
      <c r="AP374" s="9"/>
      <c r="AQ374" s="9"/>
      <c r="AS374" s="31"/>
    </row>
    <row r="375" spans="1:45">
      <c r="A375" s="13">
        <v>28460</v>
      </c>
      <c r="B375" s="3">
        <v>48.330800000000004</v>
      </c>
      <c r="C375" s="24">
        <v>94105</v>
      </c>
      <c r="D375" s="24">
        <v>84408</v>
      </c>
      <c r="E375" s="2">
        <v>6.4</v>
      </c>
      <c r="F375" s="33">
        <v>5.5700000000000003E-3</v>
      </c>
      <c r="G375" s="33">
        <v>2.8470000000000001E-3</v>
      </c>
      <c r="H375" s="25">
        <v>8.19</v>
      </c>
      <c r="I375" s="25">
        <v>8.99</v>
      </c>
      <c r="J375" s="25">
        <v>6.56</v>
      </c>
      <c r="K375" s="25">
        <v>7.12</v>
      </c>
      <c r="L375" s="25">
        <v>6.07</v>
      </c>
      <c r="M375" s="33">
        <v>39.299999999999997</v>
      </c>
      <c r="N375">
        <v>-5.2167999999999999E-2</v>
      </c>
      <c r="O375" s="31">
        <v>210.9</v>
      </c>
      <c r="P375" s="38">
        <v>171.5993</v>
      </c>
      <c r="Q375" s="22">
        <v>-0.12181897096700001</v>
      </c>
      <c r="R375" s="38">
        <v>-0.24726500000000001</v>
      </c>
      <c r="T375" s="2"/>
      <c r="U375" s="2"/>
      <c r="V375" s="24"/>
      <c r="W375" s="24"/>
      <c r="X375" s="24"/>
      <c r="Y375" s="24"/>
      <c r="Z375" s="24"/>
      <c r="AA375" s="24"/>
      <c r="AB375" s="24"/>
      <c r="AC375" s="25"/>
      <c r="AD375" s="25"/>
      <c r="AE375" s="25"/>
      <c r="AF375" s="25"/>
      <c r="AG375" s="25"/>
      <c r="AH375" s="16"/>
      <c r="AI375" s="25"/>
      <c r="AJ375" s="25"/>
      <c r="AL375" s="3"/>
      <c r="AM375" s="22"/>
      <c r="AN375" s="9"/>
      <c r="AO375" s="9"/>
      <c r="AP375" s="9"/>
      <c r="AQ375" s="9"/>
      <c r="AS375" s="31"/>
    </row>
    <row r="376" spans="1:45">
      <c r="A376" s="13">
        <v>28491</v>
      </c>
      <c r="B376" s="3">
        <v>47.671100000000003</v>
      </c>
      <c r="C376" s="24">
        <v>94384</v>
      </c>
      <c r="D376" s="24">
        <v>84595</v>
      </c>
      <c r="E376" s="2">
        <v>6.4</v>
      </c>
      <c r="F376" s="33">
        <v>-6.0643000000000002E-2</v>
      </c>
      <c r="G376" s="33">
        <v>-6.1513999999999999E-2</v>
      </c>
      <c r="H376" s="25">
        <v>8.41</v>
      </c>
      <c r="I376" s="25">
        <v>9.17</v>
      </c>
      <c r="J376" s="25">
        <v>6.7</v>
      </c>
      <c r="K376" s="25">
        <v>7.32</v>
      </c>
      <c r="L376" s="25">
        <v>6.44</v>
      </c>
      <c r="M376" s="33">
        <v>39.4</v>
      </c>
      <c r="N376">
        <v>-0.30430000000000001</v>
      </c>
      <c r="O376" s="31">
        <v>219.7</v>
      </c>
      <c r="P376" s="38">
        <v>165.2159</v>
      </c>
      <c r="Q376" s="22">
        <v>-0.205460587714</v>
      </c>
      <c r="R376" s="38">
        <v>-0.24373600000000001</v>
      </c>
      <c r="T376" s="2"/>
      <c r="U376" s="2"/>
      <c r="V376" s="24"/>
      <c r="W376" s="24"/>
      <c r="X376" s="24"/>
      <c r="Y376" s="24"/>
      <c r="Z376" s="24"/>
      <c r="AA376" s="24"/>
      <c r="AB376" s="24"/>
      <c r="AC376" s="25"/>
      <c r="AD376" s="25"/>
      <c r="AE376" s="25"/>
      <c r="AF376" s="25"/>
      <c r="AG376" s="25"/>
      <c r="AH376" s="16"/>
      <c r="AI376" s="25"/>
      <c r="AJ376" s="25"/>
      <c r="AL376" s="3"/>
      <c r="AM376" s="22"/>
      <c r="AN376" s="9"/>
      <c r="AO376" s="9"/>
      <c r="AP376" s="9"/>
      <c r="AQ376" s="9"/>
      <c r="AR376" s="2"/>
      <c r="AS376" s="31"/>
    </row>
    <row r="377" spans="1:45">
      <c r="A377" s="13">
        <v>28522</v>
      </c>
      <c r="B377" s="3">
        <v>47.915900000000001</v>
      </c>
      <c r="C377" s="24">
        <v>94519</v>
      </c>
      <c r="D377" s="24">
        <v>84948</v>
      </c>
      <c r="E377" s="2">
        <v>6.3</v>
      </c>
      <c r="F377" s="33">
        <v>-1.626E-2</v>
      </c>
      <c r="G377" s="33">
        <v>-2.4761999999999999E-2</v>
      </c>
      <c r="H377" s="25">
        <v>8.4700000000000006</v>
      </c>
      <c r="I377" s="25">
        <v>9.1999999999999993</v>
      </c>
      <c r="J377" s="25">
        <v>6.78</v>
      </c>
      <c r="K377" s="25">
        <v>7.28</v>
      </c>
      <c r="L377" s="25">
        <v>6.45</v>
      </c>
      <c r="M377" s="33">
        <v>39.5</v>
      </c>
      <c r="N377">
        <v>-0.36897999999999997</v>
      </c>
      <c r="O377" s="31">
        <v>219.9</v>
      </c>
      <c r="P377" s="38">
        <v>99.113950000000003</v>
      </c>
      <c r="Q377" s="22">
        <v>0.106016918345</v>
      </c>
      <c r="R377" s="38">
        <v>-0.24294099999999999</v>
      </c>
      <c r="T377" s="2"/>
      <c r="U377" s="2"/>
      <c r="V377" s="24"/>
      <c r="W377" s="24"/>
      <c r="X377" s="24"/>
      <c r="Y377" s="24"/>
      <c r="Z377" s="24"/>
      <c r="AA377" s="24"/>
      <c r="AB377" s="24"/>
      <c r="AC377" s="25"/>
      <c r="AD377" s="25"/>
      <c r="AE377" s="25"/>
      <c r="AF377" s="25"/>
      <c r="AG377" s="25"/>
      <c r="AH377" s="16"/>
      <c r="AI377" s="25"/>
      <c r="AJ377" s="25"/>
      <c r="AL377" s="3"/>
      <c r="AM377" s="22"/>
      <c r="AN377" s="9"/>
      <c r="AO377" s="9"/>
      <c r="AP377" s="9"/>
      <c r="AQ377" s="9"/>
      <c r="AR377" s="2"/>
      <c r="AS377" s="31"/>
    </row>
    <row r="378" spans="1:45">
      <c r="A378" s="13">
        <v>28550</v>
      </c>
      <c r="B378" s="3">
        <v>48.833199999999998</v>
      </c>
      <c r="C378" s="24">
        <v>94755</v>
      </c>
      <c r="D378" s="24">
        <v>85461</v>
      </c>
      <c r="E378" s="2">
        <v>6.3</v>
      </c>
      <c r="F378" s="33">
        <v>2.6925000000000001E-2</v>
      </c>
      <c r="G378" s="33">
        <v>2.4930999999999998E-2</v>
      </c>
      <c r="H378" s="25">
        <v>8.4700000000000006</v>
      </c>
      <c r="I378" s="25">
        <v>9.2200000000000006</v>
      </c>
      <c r="J378" s="25">
        <v>6.79</v>
      </c>
      <c r="K378" s="25">
        <v>7.29</v>
      </c>
      <c r="L378" s="25">
        <v>6.29</v>
      </c>
      <c r="M378" s="33">
        <v>40</v>
      </c>
      <c r="N378">
        <v>-1.2115</v>
      </c>
      <c r="O378" s="31">
        <v>219.8</v>
      </c>
      <c r="P378" s="38">
        <v>125.63679999999999</v>
      </c>
      <c r="Q378" s="22">
        <v>4.2212118642000002E-2</v>
      </c>
      <c r="R378" s="38">
        <v>-0.22661400000000001</v>
      </c>
      <c r="T378" s="2"/>
      <c r="U378" s="2"/>
      <c r="V378" s="24"/>
      <c r="W378" s="24"/>
      <c r="X378" s="24"/>
      <c r="Y378" s="24"/>
      <c r="Z378" s="24"/>
      <c r="AA378" s="24"/>
      <c r="AB378" s="24"/>
      <c r="AC378" s="25"/>
      <c r="AD378" s="25"/>
      <c r="AE378" s="25"/>
      <c r="AF378" s="25"/>
      <c r="AG378" s="25"/>
      <c r="AH378" s="16"/>
      <c r="AI378" s="25"/>
      <c r="AJ378" s="25"/>
      <c r="AL378" s="3"/>
      <c r="AM378" s="22"/>
      <c r="AN378" s="9"/>
      <c r="AO378" s="9"/>
      <c r="AP378" s="9"/>
      <c r="AQ378" s="9"/>
      <c r="AR378" s="2"/>
      <c r="AS378" s="31"/>
    </row>
    <row r="379" spans="1:45">
      <c r="A379" s="13">
        <v>28581</v>
      </c>
      <c r="B379" s="3">
        <v>49.8095</v>
      </c>
      <c r="C379" s="24">
        <v>95394</v>
      </c>
      <c r="D379" s="24">
        <v>86163</v>
      </c>
      <c r="E379" s="2">
        <v>6.1</v>
      </c>
      <c r="F379" s="33">
        <v>8.8964000000000001E-2</v>
      </c>
      <c r="G379" s="33">
        <v>8.5416000000000006E-2</v>
      </c>
      <c r="H379" s="25">
        <v>8.56</v>
      </c>
      <c r="I379" s="25">
        <v>9.32</v>
      </c>
      <c r="J379" s="25">
        <v>6.89</v>
      </c>
      <c r="K379" s="25">
        <v>7.38</v>
      </c>
      <c r="L379" s="25">
        <v>6.29</v>
      </c>
      <c r="M379" s="33">
        <v>40.1</v>
      </c>
      <c r="N379">
        <v>-0.19105</v>
      </c>
      <c r="O379" s="31">
        <v>220.3</v>
      </c>
      <c r="P379" s="38">
        <v>115.78019999999999</v>
      </c>
      <c r="Q379" s="22">
        <v>-6.8913774326000002E-2</v>
      </c>
      <c r="R379" s="38">
        <v>-0.17793500000000001</v>
      </c>
      <c r="T379" s="2"/>
      <c r="U379" s="2"/>
      <c r="V379" s="24"/>
      <c r="W379" s="24"/>
      <c r="X379" s="24"/>
      <c r="Y379" s="24"/>
      <c r="Z379" s="24"/>
      <c r="AA379" s="24"/>
      <c r="AB379" s="24"/>
      <c r="AC379" s="25"/>
      <c r="AD379" s="25"/>
      <c r="AE379" s="25"/>
      <c r="AF379" s="25"/>
      <c r="AG379" s="25"/>
      <c r="AH379" s="16"/>
      <c r="AI379" s="25"/>
      <c r="AJ379" s="25"/>
      <c r="AL379" s="3"/>
      <c r="AM379" s="22"/>
      <c r="AN379" s="9"/>
      <c r="AO379" s="9"/>
      <c r="AP379" s="9"/>
      <c r="AQ379" s="9"/>
      <c r="AR379" s="2"/>
      <c r="AS379" s="31"/>
    </row>
    <row r="380" spans="1:45">
      <c r="A380" s="13">
        <v>28611</v>
      </c>
      <c r="B380" s="3">
        <v>49.995699999999999</v>
      </c>
      <c r="C380" s="24">
        <v>95769</v>
      </c>
      <c r="D380" s="24">
        <v>86509</v>
      </c>
      <c r="E380" s="2">
        <v>6</v>
      </c>
      <c r="F380" s="33">
        <v>1.3719E-2</v>
      </c>
      <c r="G380" s="33">
        <v>4.2339999999999999E-3</v>
      </c>
      <c r="H380" s="25">
        <v>8.69</v>
      </c>
      <c r="I380" s="25">
        <v>9.49</v>
      </c>
      <c r="J380" s="25">
        <v>7.36</v>
      </c>
      <c r="K380" s="25">
        <v>7.82</v>
      </c>
      <c r="L380" s="25">
        <v>6.41</v>
      </c>
      <c r="M380" s="33">
        <v>40.299999999999997</v>
      </c>
      <c r="N380">
        <v>0.91535</v>
      </c>
      <c r="O380" s="31">
        <v>217.8</v>
      </c>
      <c r="P380" s="38">
        <v>109.011</v>
      </c>
      <c r="Q380" s="22">
        <v>-0.21594559558099999</v>
      </c>
      <c r="R380" s="38">
        <v>-0.121764</v>
      </c>
      <c r="T380" s="2"/>
      <c r="U380" s="2"/>
      <c r="V380" s="24"/>
      <c r="W380" s="24"/>
      <c r="X380" s="24"/>
      <c r="Y380" s="24"/>
      <c r="Z380" s="24"/>
      <c r="AA380" s="24"/>
      <c r="AB380" s="24"/>
      <c r="AC380" s="25"/>
      <c r="AD380" s="25"/>
      <c r="AE380" s="25"/>
      <c r="AF380" s="25"/>
      <c r="AG380" s="25"/>
      <c r="AH380" s="16"/>
      <c r="AI380" s="25"/>
      <c r="AJ380" s="25"/>
      <c r="AL380" s="3"/>
      <c r="AM380" s="22"/>
      <c r="AN380" s="9"/>
      <c r="AO380" s="9"/>
      <c r="AP380" s="9"/>
      <c r="AQ380" s="9"/>
      <c r="AR380" s="2"/>
      <c r="AS380" s="31"/>
    </row>
    <row r="381" spans="1:45">
      <c r="A381" s="13">
        <v>28642</v>
      </c>
      <c r="B381" s="3">
        <v>50.343800000000002</v>
      </c>
      <c r="C381" s="24">
        <v>96343</v>
      </c>
      <c r="D381" s="24">
        <v>86951</v>
      </c>
      <c r="E381" s="2">
        <v>5.9</v>
      </c>
      <c r="F381" s="33">
        <v>-1.6577999999999999E-2</v>
      </c>
      <c r="G381" s="33">
        <v>-1.7585E-2</v>
      </c>
      <c r="H381" s="25">
        <v>8.76</v>
      </c>
      <c r="I381" s="25">
        <v>9.6</v>
      </c>
      <c r="J381" s="25">
        <v>7.6</v>
      </c>
      <c r="K381" s="25">
        <v>8.33</v>
      </c>
      <c r="L381" s="25">
        <v>6.73</v>
      </c>
      <c r="M381" s="33">
        <v>40.799999999999997</v>
      </c>
      <c r="N381">
        <v>-0.85551999999999995</v>
      </c>
      <c r="O381" s="31">
        <v>222.1</v>
      </c>
      <c r="P381" s="38">
        <v>109.09610000000001</v>
      </c>
      <c r="Q381" s="22">
        <v>0.24337867672999999</v>
      </c>
      <c r="R381" s="38">
        <v>-0.36690400000000001</v>
      </c>
      <c r="T381" s="2"/>
      <c r="U381" s="2"/>
      <c r="V381" s="24"/>
      <c r="W381" s="24"/>
      <c r="X381" s="24"/>
      <c r="Y381" s="24"/>
      <c r="Z381" s="24"/>
      <c r="AA381" s="24"/>
      <c r="AB381" s="24"/>
      <c r="AC381" s="25"/>
      <c r="AD381" s="25"/>
      <c r="AE381" s="25"/>
      <c r="AF381" s="25"/>
      <c r="AG381" s="25"/>
      <c r="AH381" s="16"/>
      <c r="AI381" s="25"/>
      <c r="AJ381" s="25"/>
      <c r="AL381" s="3"/>
      <c r="AM381" s="22"/>
      <c r="AN381" s="9"/>
      <c r="AO381" s="9"/>
      <c r="AP381" s="9"/>
      <c r="AQ381" s="9"/>
      <c r="AR381" s="2"/>
      <c r="AS381" s="31"/>
    </row>
    <row r="382" spans="1:45">
      <c r="A382" s="13">
        <v>28672</v>
      </c>
      <c r="B382" s="3">
        <v>50.321300000000001</v>
      </c>
      <c r="C382" s="24">
        <v>96090</v>
      </c>
      <c r="D382" s="24">
        <v>87205</v>
      </c>
      <c r="E382" s="2">
        <v>6.2</v>
      </c>
      <c r="F382" s="33">
        <v>5.6973999999999997E-2</v>
      </c>
      <c r="G382" s="33">
        <v>5.391E-2</v>
      </c>
      <c r="H382" s="25">
        <v>8.8800000000000008</v>
      </c>
      <c r="I382" s="25">
        <v>9.6</v>
      </c>
      <c r="J382" s="25">
        <v>7.81</v>
      </c>
      <c r="K382" s="25">
        <v>8.52</v>
      </c>
      <c r="L382" s="25">
        <v>7.01</v>
      </c>
      <c r="M382" s="33">
        <v>41.2</v>
      </c>
      <c r="N382">
        <v>-1.6285000000000001</v>
      </c>
      <c r="O382" s="31">
        <v>224.7</v>
      </c>
      <c r="P382" s="38">
        <v>152.20050000000001</v>
      </c>
      <c r="Q382" s="22">
        <v>-0.142442885272</v>
      </c>
      <c r="R382" s="38">
        <v>-0.25923200000000002</v>
      </c>
      <c r="T382" s="2"/>
      <c r="U382" s="2"/>
      <c r="V382" s="24"/>
      <c r="W382" s="24"/>
      <c r="X382" s="24"/>
      <c r="Y382" s="24"/>
      <c r="Z382" s="24"/>
      <c r="AA382" s="24"/>
      <c r="AB382" s="24"/>
      <c r="AC382" s="25"/>
      <c r="AD382" s="25"/>
      <c r="AE382" s="25"/>
      <c r="AF382" s="25"/>
      <c r="AG382" s="25"/>
      <c r="AH382" s="16"/>
      <c r="AI382" s="25"/>
      <c r="AJ382" s="25"/>
      <c r="AL382" s="3"/>
      <c r="AM382" s="22"/>
      <c r="AN382" s="9"/>
      <c r="AO382" s="9"/>
      <c r="AP382" s="9"/>
      <c r="AQ382" s="9"/>
      <c r="AR382" s="2"/>
      <c r="AS382" s="31"/>
    </row>
    <row r="383" spans="1:45">
      <c r="A383" s="13">
        <v>28703</v>
      </c>
      <c r="B383" s="3">
        <v>50.515500000000003</v>
      </c>
      <c r="C383" s="24">
        <v>96431</v>
      </c>
      <c r="D383" s="24">
        <v>87481</v>
      </c>
      <c r="E383" s="2">
        <v>5.9</v>
      </c>
      <c r="F383" s="33">
        <v>3.3640999999999997E-2</v>
      </c>
      <c r="G383" s="33">
        <v>2.5923999999999999E-2</v>
      </c>
      <c r="H383" s="25">
        <v>8.69</v>
      </c>
      <c r="I383" s="25">
        <v>9.48</v>
      </c>
      <c r="J383" s="25">
        <v>8.0399999999999991</v>
      </c>
      <c r="K383" s="25">
        <v>8.48</v>
      </c>
      <c r="L383" s="25">
        <v>7.08</v>
      </c>
      <c r="M383" s="33">
        <v>41.3</v>
      </c>
      <c r="N383">
        <v>-4.6899999999999997E-2</v>
      </c>
      <c r="O383" s="31">
        <v>232.6</v>
      </c>
      <c r="P383" s="38">
        <v>95.40916</v>
      </c>
      <c r="Q383" s="22">
        <v>-6.3760798384999998E-2</v>
      </c>
      <c r="R383" s="38">
        <v>-0.30658099999999999</v>
      </c>
      <c r="T383" s="2"/>
      <c r="U383" s="2"/>
      <c r="V383" s="24"/>
      <c r="W383" s="24"/>
      <c r="X383" s="24"/>
      <c r="Y383" s="24"/>
      <c r="Z383" s="24"/>
      <c r="AA383" s="24"/>
      <c r="AB383" s="24"/>
      <c r="AC383" s="25"/>
      <c r="AD383" s="25"/>
      <c r="AE383" s="25"/>
      <c r="AF383" s="25"/>
      <c r="AG383" s="25"/>
      <c r="AH383" s="16"/>
      <c r="AI383" s="25"/>
      <c r="AJ383" s="25"/>
      <c r="AL383" s="3"/>
      <c r="AM383" s="22"/>
      <c r="AN383" s="9"/>
      <c r="AO383" s="9"/>
      <c r="AP383" s="9"/>
      <c r="AQ383" s="9"/>
      <c r="AR383" s="2"/>
      <c r="AS383" s="31"/>
    </row>
    <row r="384" spans="1:45">
      <c r="A384" s="13">
        <v>28734</v>
      </c>
      <c r="B384" s="3">
        <v>50.661499999999997</v>
      </c>
      <c r="C384" s="24">
        <v>96670</v>
      </c>
      <c r="D384" s="24">
        <v>87618</v>
      </c>
      <c r="E384" s="2">
        <v>6</v>
      </c>
      <c r="F384" s="33">
        <v>-5.1630000000000001E-3</v>
      </c>
      <c r="G384" s="33">
        <v>-7.2610000000000001E-3</v>
      </c>
      <c r="H384" s="25">
        <v>8.69</v>
      </c>
      <c r="I384" s="25">
        <v>9.42</v>
      </c>
      <c r="J384" s="25">
        <v>8.4499999999999993</v>
      </c>
      <c r="K384" s="25">
        <v>9.1199999999999992</v>
      </c>
      <c r="L384" s="25">
        <v>7.85</v>
      </c>
      <c r="M384" s="33">
        <v>41.7</v>
      </c>
      <c r="N384">
        <v>0.71423000000000003</v>
      </c>
      <c r="O384" s="31">
        <v>239.1</v>
      </c>
      <c r="P384" s="38">
        <v>123.3861</v>
      </c>
      <c r="Q384" s="22">
        <v>-0.15558358810600001</v>
      </c>
      <c r="R384" s="38">
        <v>-0.238565</v>
      </c>
      <c r="T384" s="2"/>
      <c r="U384" s="2"/>
      <c r="V384" s="24"/>
      <c r="W384" s="24"/>
      <c r="X384" s="24"/>
      <c r="Y384" s="24"/>
      <c r="Z384" s="24"/>
      <c r="AA384" s="24"/>
      <c r="AB384" s="24"/>
      <c r="AC384" s="25"/>
      <c r="AD384" s="25"/>
      <c r="AE384" s="25"/>
      <c r="AF384" s="25"/>
      <c r="AG384" s="25"/>
      <c r="AH384" s="16"/>
      <c r="AI384" s="25"/>
      <c r="AJ384" s="25"/>
      <c r="AL384" s="3"/>
      <c r="AM384" s="22"/>
      <c r="AN384" s="9"/>
      <c r="AO384" s="9"/>
      <c r="AP384" s="9"/>
      <c r="AQ384" s="9"/>
      <c r="AR384" s="2"/>
      <c r="AS384" s="31"/>
    </row>
    <row r="385" spans="1:45">
      <c r="A385" s="13">
        <v>28764</v>
      </c>
      <c r="B385" s="3">
        <v>51.073</v>
      </c>
      <c r="C385" s="24">
        <v>97133</v>
      </c>
      <c r="D385" s="24">
        <v>87954</v>
      </c>
      <c r="E385" s="2">
        <v>5.8</v>
      </c>
      <c r="F385" s="33">
        <v>-8.9569999999999997E-2</v>
      </c>
      <c r="G385" s="33">
        <v>-9.1574000000000003E-2</v>
      </c>
      <c r="H385" s="25">
        <v>8.89</v>
      </c>
      <c r="I385" s="25">
        <v>9.59</v>
      </c>
      <c r="J385" s="25">
        <v>8.9600000000000009</v>
      </c>
      <c r="K385" s="25">
        <v>10.119999999999999</v>
      </c>
      <c r="L385" s="25">
        <v>7.99</v>
      </c>
      <c r="M385" s="33">
        <v>41.9</v>
      </c>
      <c r="N385">
        <v>2.7242000000000002</v>
      </c>
      <c r="O385" s="31">
        <v>249.4</v>
      </c>
      <c r="P385" s="38">
        <v>102.0142</v>
      </c>
      <c r="Q385" s="22">
        <v>0.13336711658799999</v>
      </c>
      <c r="R385" s="38">
        <v>-0.45705899999999999</v>
      </c>
      <c r="T385" s="2"/>
      <c r="U385" s="2"/>
      <c r="V385" s="24"/>
      <c r="W385" s="24"/>
      <c r="X385" s="24"/>
      <c r="Y385" s="24"/>
      <c r="Z385" s="24"/>
      <c r="AA385" s="24"/>
      <c r="AB385" s="24"/>
      <c r="AC385" s="25"/>
      <c r="AD385" s="25"/>
      <c r="AE385" s="25"/>
      <c r="AF385" s="25"/>
      <c r="AG385" s="25"/>
      <c r="AH385" s="16"/>
      <c r="AI385" s="25"/>
      <c r="AJ385" s="25"/>
      <c r="AL385" s="3"/>
      <c r="AM385" s="22"/>
      <c r="AN385" s="9"/>
      <c r="AO385" s="9"/>
      <c r="AP385" s="9"/>
      <c r="AQ385" s="9"/>
      <c r="AR385" s="2"/>
      <c r="AS385" s="31"/>
    </row>
    <row r="386" spans="1:45">
      <c r="A386" s="13">
        <v>28795</v>
      </c>
      <c r="B386" s="3">
        <v>51.437800000000003</v>
      </c>
      <c r="C386" s="24">
        <v>97485</v>
      </c>
      <c r="D386" s="24">
        <v>88391</v>
      </c>
      <c r="E386" s="2">
        <v>5.9</v>
      </c>
      <c r="F386" s="33">
        <v>2.6771E-2</v>
      </c>
      <c r="G386" s="33">
        <v>1.6639999999999999E-2</v>
      </c>
      <c r="H386" s="25">
        <v>9.0299999999999994</v>
      </c>
      <c r="I386" s="25">
        <v>9.83</v>
      </c>
      <c r="J386" s="25">
        <v>9.76</v>
      </c>
      <c r="K386" s="25">
        <v>11.51</v>
      </c>
      <c r="L386" s="25">
        <v>8.64</v>
      </c>
      <c r="M386" s="33">
        <v>42.3</v>
      </c>
      <c r="N386">
        <v>2.9266999999999999</v>
      </c>
      <c r="O386" s="31">
        <v>254.8</v>
      </c>
      <c r="P386" s="38">
        <v>137.8168</v>
      </c>
      <c r="Q386" s="22">
        <v>0.16827009753800001</v>
      </c>
      <c r="R386" s="38">
        <v>-0.215805</v>
      </c>
      <c r="T386" s="2"/>
      <c r="U386" s="2"/>
      <c r="V386" s="24"/>
      <c r="W386" s="24"/>
      <c r="X386" s="24"/>
      <c r="Y386" s="24"/>
      <c r="Z386" s="24"/>
      <c r="AA386" s="24"/>
      <c r="AB386" s="24"/>
      <c r="AC386" s="25"/>
      <c r="AD386" s="25"/>
      <c r="AE386" s="25"/>
      <c r="AF386" s="25"/>
      <c r="AG386" s="25"/>
      <c r="AH386" s="16"/>
      <c r="AI386" s="25"/>
      <c r="AJ386" s="25"/>
      <c r="AL386" s="3"/>
      <c r="AM386" s="22"/>
      <c r="AN386" s="9"/>
      <c r="AO386" s="9"/>
      <c r="AP386" s="9"/>
      <c r="AQ386" s="9"/>
      <c r="AR386" s="2"/>
      <c r="AS386" s="31"/>
    </row>
    <row r="387" spans="1:45">
      <c r="A387" s="13">
        <v>28825</v>
      </c>
      <c r="B387" s="3">
        <v>51.7286</v>
      </c>
      <c r="C387" s="24">
        <v>97581</v>
      </c>
      <c r="D387" s="24">
        <v>88674</v>
      </c>
      <c r="E387" s="2">
        <v>6</v>
      </c>
      <c r="F387" s="33">
        <v>1.6626999999999999E-2</v>
      </c>
      <c r="G387" s="33">
        <v>1.4888999999999999E-2</v>
      </c>
      <c r="H387" s="25">
        <v>9.16</v>
      </c>
      <c r="I387" s="25">
        <v>9.94</v>
      </c>
      <c r="J387" s="25">
        <v>10.029999999999999</v>
      </c>
      <c r="K387" s="25">
        <v>11.62</v>
      </c>
      <c r="L387" s="25">
        <v>9.08</v>
      </c>
      <c r="M387" s="33">
        <v>42.6</v>
      </c>
      <c r="N387">
        <v>-0.14616000000000001</v>
      </c>
      <c r="O387" s="31">
        <v>251.8</v>
      </c>
      <c r="P387" s="38">
        <v>131.8845</v>
      </c>
      <c r="Q387" s="22">
        <v>-4.2498837955E-2</v>
      </c>
      <c r="R387" s="38">
        <v>-0.36833399999999999</v>
      </c>
      <c r="T387" s="2"/>
      <c r="U387" s="2"/>
      <c r="V387" s="24"/>
      <c r="W387" s="24"/>
      <c r="X387" s="24"/>
      <c r="Y387" s="24"/>
      <c r="Z387" s="24"/>
      <c r="AA387" s="24"/>
      <c r="AB387" s="24"/>
      <c r="AC387" s="25"/>
      <c r="AD387" s="25"/>
      <c r="AE387" s="25"/>
      <c r="AF387" s="25"/>
      <c r="AG387" s="25"/>
      <c r="AH387" s="16"/>
      <c r="AI387" s="25"/>
      <c r="AJ387" s="25"/>
      <c r="AL387" s="3"/>
      <c r="AM387" s="22"/>
      <c r="AN387" s="9"/>
      <c r="AO387" s="9"/>
      <c r="AP387" s="9"/>
      <c r="AQ387" s="9"/>
      <c r="AR387" s="2"/>
      <c r="AS387" s="31"/>
    </row>
    <row r="388" spans="1:45">
      <c r="A388" s="13">
        <v>28856</v>
      </c>
      <c r="B388" s="3">
        <v>51.384599999999999</v>
      </c>
      <c r="C388" s="24">
        <v>97948</v>
      </c>
      <c r="D388" s="24">
        <v>88811</v>
      </c>
      <c r="E388" s="2">
        <v>5.9</v>
      </c>
      <c r="F388" s="33">
        <v>4.2696999999999999E-2</v>
      </c>
      <c r="G388" s="33">
        <v>3.9745999999999997E-2</v>
      </c>
      <c r="H388" s="25">
        <v>9.25</v>
      </c>
      <c r="I388" s="25">
        <v>10.130000000000001</v>
      </c>
      <c r="J388" s="25">
        <v>10.07</v>
      </c>
      <c r="K388" s="25">
        <v>11.16</v>
      </c>
      <c r="L388" s="25">
        <v>9.35</v>
      </c>
      <c r="M388" s="33">
        <v>43.1</v>
      </c>
      <c r="N388">
        <v>-0.65246999999999999</v>
      </c>
      <c r="O388" s="31">
        <v>258.3</v>
      </c>
      <c r="P388" s="38">
        <v>142.8467</v>
      </c>
      <c r="Q388" s="22">
        <v>0</v>
      </c>
      <c r="R388" s="38">
        <v>-0.236786</v>
      </c>
      <c r="T388" s="2"/>
      <c r="U388" s="2"/>
      <c r="V388" s="24"/>
      <c r="W388" s="24"/>
      <c r="X388" s="24"/>
      <c r="Y388" s="24"/>
      <c r="Z388" s="24"/>
      <c r="AA388" s="24"/>
      <c r="AB388" s="24"/>
      <c r="AC388" s="25"/>
      <c r="AD388" s="25"/>
      <c r="AE388" s="25"/>
      <c r="AF388" s="25"/>
      <c r="AG388" s="25"/>
      <c r="AH388" s="16"/>
      <c r="AI388" s="25"/>
      <c r="AJ388" s="25"/>
      <c r="AL388" s="3"/>
      <c r="AM388" s="22"/>
      <c r="AN388" s="9"/>
      <c r="AO388" s="9"/>
      <c r="AP388" s="9"/>
      <c r="AQ388" s="9"/>
      <c r="AR388" s="2"/>
      <c r="AS388" s="31"/>
    </row>
    <row r="389" spans="1:45">
      <c r="A389" s="13">
        <v>28887</v>
      </c>
      <c r="B389" s="3">
        <v>51.678199999999997</v>
      </c>
      <c r="C389" s="24">
        <v>98329</v>
      </c>
      <c r="D389" s="24">
        <v>89054</v>
      </c>
      <c r="E389" s="2">
        <v>5.9</v>
      </c>
      <c r="F389" s="33">
        <v>-2.8649000000000001E-2</v>
      </c>
      <c r="G389" s="33">
        <v>-3.6526000000000003E-2</v>
      </c>
      <c r="H389" s="25">
        <v>9.26</v>
      </c>
      <c r="I389" s="25">
        <v>10.08</v>
      </c>
      <c r="J389" s="25">
        <v>10.06</v>
      </c>
      <c r="K389" s="25">
        <v>10.79</v>
      </c>
      <c r="L389" s="25">
        <v>9.32</v>
      </c>
      <c r="M389" s="33">
        <v>43.9</v>
      </c>
      <c r="N389">
        <v>-0.53742000000000001</v>
      </c>
      <c r="O389" s="31">
        <v>273.5</v>
      </c>
      <c r="P389" s="38">
        <v>144.0137</v>
      </c>
      <c r="Q389" s="22">
        <v>-0.15183845899100001</v>
      </c>
      <c r="R389" s="38">
        <v>-0.30197299999999999</v>
      </c>
      <c r="T389" s="2"/>
      <c r="U389" s="2"/>
      <c r="V389" s="24"/>
      <c r="W389" s="24"/>
      <c r="X389" s="24"/>
      <c r="Y389" s="24"/>
      <c r="Z389" s="24"/>
      <c r="AA389" s="24"/>
      <c r="AB389" s="24"/>
      <c r="AC389" s="25"/>
      <c r="AD389" s="25"/>
      <c r="AE389" s="25"/>
      <c r="AF389" s="25"/>
      <c r="AG389" s="25"/>
      <c r="AH389" s="16"/>
      <c r="AI389" s="25"/>
      <c r="AJ389" s="25"/>
      <c r="AL389" s="3"/>
      <c r="AM389" s="22"/>
      <c r="AN389" s="9"/>
      <c r="AO389" s="9"/>
      <c r="AP389" s="9"/>
      <c r="AQ389" s="9"/>
      <c r="AR389" s="2"/>
      <c r="AS389" s="31"/>
    </row>
    <row r="390" spans="1:45">
      <c r="A390" s="13">
        <v>28915</v>
      </c>
      <c r="B390" s="3">
        <v>51.841700000000003</v>
      </c>
      <c r="C390" s="24">
        <v>98480</v>
      </c>
      <c r="D390" s="24">
        <v>89480</v>
      </c>
      <c r="E390" s="2">
        <v>5.8</v>
      </c>
      <c r="F390" s="33">
        <v>5.7361000000000002E-2</v>
      </c>
      <c r="G390" s="33">
        <v>5.5152E-2</v>
      </c>
      <c r="H390" s="25">
        <v>9.3699999999999992</v>
      </c>
      <c r="I390" s="25">
        <v>10.26</v>
      </c>
      <c r="J390" s="25">
        <v>10.09</v>
      </c>
      <c r="K390" s="25">
        <v>10.64</v>
      </c>
      <c r="L390" s="25">
        <v>9.48</v>
      </c>
      <c r="M390" s="33">
        <v>44.2</v>
      </c>
      <c r="N390">
        <v>-0.44729999999999998</v>
      </c>
      <c r="O390" s="31">
        <v>288.5</v>
      </c>
      <c r="P390" s="38">
        <v>152.70050000000001</v>
      </c>
      <c r="Q390" s="22">
        <v>0.132936284939</v>
      </c>
      <c r="R390" s="38">
        <v>-0.10203</v>
      </c>
      <c r="T390" s="2"/>
      <c r="U390" s="2"/>
      <c r="V390" s="24"/>
      <c r="W390" s="24"/>
      <c r="X390" s="24"/>
      <c r="Y390" s="24"/>
      <c r="Z390" s="24"/>
      <c r="AA390" s="24"/>
      <c r="AB390" s="24"/>
      <c r="AC390" s="25"/>
      <c r="AD390" s="25"/>
      <c r="AE390" s="25"/>
      <c r="AF390" s="25"/>
      <c r="AG390" s="25"/>
      <c r="AH390" s="16"/>
      <c r="AI390" s="25"/>
      <c r="AJ390" s="25"/>
      <c r="AL390" s="3"/>
      <c r="AM390" s="22"/>
      <c r="AN390" s="9"/>
      <c r="AO390" s="9"/>
      <c r="AP390" s="9"/>
      <c r="AQ390" s="9"/>
      <c r="AR390" s="2"/>
      <c r="AS390" s="31"/>
    </row>
    <row r="391" spans="1:45">
      <c r="A391" s="13">
        <v>28946</v>
      </c>
      <c r="B391" s="3">
        <v>51.282200000000003</v>
      </c>
      <c r="C391" s="24">
        <v>98103</v>
      </c>
      <c r="D391" s="24">
        <v>89418</v>
      </c>
      <c r="E391" s="2">
        <v>5.8</v>
      </c>
      <c r="F391" s="33">
        <v>4.1830000000000001E-3</v>
      </c>
      <c r="G391" s="33">
        <v>1.673E-3</v>
      </c>
      <c r="H391" s="25">
        <v>9.3800000000000008</v>
      </c>
      <c r="I391" s="25">
        <v>10.33</v>
      </c>
      <c r="J391" s="25">
        <v>10.01</v>
      </c>
      <c r="K391" s="25">
        <v>10.6</v>
      </c>
      <c r="L391" s="25">
        <v>9.4600000000000009</v>
      </c>
      <c r="M391" s="33">
        <v>44.5</v>
      </c>
      <c r="N391">
        <v>-1.2083999999999999</v>
      </c>
      <c r="O391" s="31">
        <v>294.5</v>
      </c>
      <c r="P391" s="38">
        <v>132.0744</v>
      </c>
      <c r="Q391" s="22">
        <v>-6.4314582716000004E-2</v>
      </c>
      <c r="R391" s="38">
        <v>-0.17793900000000001</v>
      </c>
      <c r="T391" s="2"/>
      <c r="U391" s="2"/>
      <c r="V391" s="24"/>
      <c r="W391" s="24"/>
      <c r="X391" s="24"/>
      <c r="Y391" s="24"/>
      <c r="Z391" s="24"/>
      <c r="AA391" s="24"/>
      <c r="AB391" s="24"/>
      <c r="AC391" s="25"/>
      <c r="AD391" s="25"/>
      <c r="AE391" s="25"/>
      <c r="AF391" s="25"/>
      <c r="AG391" s="25"/>
      <c r="AH391" s="16"/>
      <c r="AI391" s="25"/>
      <c r="AJ391" s="25"/>
      <c r="AL391" s="3"/>
      <c r="AM391" s="22"/>
      <c r="AN391" s="9"/>
      <c r="AO391" s="9"/>
      <c r="AP391" s="9"/>
      <c r="AQ391" s="9"/>
      <c r="AR391" s="2"/>
      <c r="AS391" s="31"/>
    </row>
    <row r="392" spans="1:45">
      <c r="A392" s="13">
        <v>28976</v>
      </c>
      <c r="B392" s="3">
        <v>51.675199999999997</v>
      </c>
      <c r="C392" s="24">
        <v>98331</v>
      </c>
      <c r="D392" s="24">
        <v>89790</v>
      </c>
      <c r="E392" s="2">
        <v>5.6</v>
      </c>
      <c r="F392" s="33">
        <v>-1.6818E-2</v>
      </c>
      <c r="G392" s="33">
        <v>-2.6335999999999998E-2</v>
      </c>
      <c r="H392" s="25">
        <v>9.5</v>
      </c>
      <c r="I392" s="25">
        <v>10.47</v>
      </c>
      <c r="J392" s="25">
        <v>10.24</v>
      </c>
      <c r="K392" s="25">
        <v>10.74</v>
      </c>
      <c r="L392" s="25">
        <v>9.61</v>
      </c>
      <c r="M392" s="33">
        <v>45.8</v>
      </c>
      <c r="N392">
        <v>1.7432000000000001</v>
      </c>
      <c r="O392" s="31">
        <v>293.8</v>
      </c>
      <c r="P392" s="38">
        <v>129.49039999999999</v>
      </c>
      <c r="Q392" s="22">
        <v>0.105398714568</v>
      </c>
      <c r="R392" s="38">
        <v>-0.26927699999999999</v>
      </c>
      <c r="T392" s="2"/>
      <c r="U392" s="2"/>
      <c r="V392" s="24"/>
      <c r="W392" s="24"/>
      <c r="X392" s="24"/>
      <c r="Y392" s="24"/>
      <c r="Z392" s="24"/>
      <c r="AA392" s="24"/>
      <c r="AB392" s="24"/>
      <c r="AC392" s="25"/>
      <c r="AD392" s="25"/>
      <c r="AE392" s="25"/>
      <c r="AF392" s="25"/>
      <c r="AG392" s="25"/>
      <c r="AH392" s="16"/>
      <c r="AI392" s="25"/>
      <c r="AJ392" s="25"/>
      <c r="AL392" s="3"/>
      <c r="AM392" s="22"/>
      <c r="AN392" s="9"/>
      <c r="AO392" s="9"/>
      <c r="AP392" s="9"/>
      <c r="AQ392" s="9"/>
      <c r="AR392" s="2"/>
      <c r="AS392" s="31"/>
    </row>
    <row r="393" spans="1:45">
      <c r="A393" s="13">
        <v>29007</v>
      </c>
      <c r="B393" s="3">
        <v>51.688099999999999</v>
      </c>
      <c r="C393" s="24">
        <v>98679</v>
      </c>
      <c r="D393" s="24">
        <v>90108</v>
      </c>
      <c r="E393" s="2">
        <v>5.7</v>
      </c>
      <c r="F393" s="33">
        <v>4.0323999999999999E-2</v>
      </c>
      <c r="G393" s="33">
        <v>3.8656000000000003E-2</v>
      </c>
      <c r="H393" s="25">
        <v>9.2899999999999991</v>
      </c>
      <c r="I393" s="25">
        <v>10.38</v>
      </c>
      <c r="J393" s="25">
        <v>10.29</v>
      </c>
      <c r="K393" s="25">
        <v>10.52</v>
      </c>
      <c r="L393" s="25">
        <v>9.06</v>
      </c>
      <c r="M393" s="33">
        <v>48.6</v>
      </c>
      <c r="N393">
        <v>-1.6524000000000001</v>
      </c>
      <c r="O393" s="31">
        <v>293.89999999999998</v>
      </c>
      <c r="P393" s="38">
        <v>133.33170000000001</v>
      </c>
      <c r="Q393" s="22">
        <v>0</v>
      </c>
      <c r="R393" s="38">
        <v>-0.160996</v>
      </c>
      <c r="T393" s="2"/>
      <c r="U393" s="2"/>
      <c r="V393" s="24"/>
      <c r="W393" s="24"/>
      <c r="X393" s="24"/>
      <c r="Y393" s="24"/>
      <c r="Z393" s="24"/>
      <c r="AA393" s="24"/>
      <c r="AB393" s="24"/>
      <c r="AC393" s="25"/>
      <c r="AD393" s="25"/>
      <c r="AE393" s="25"/>
      <c r="AF393" s="25"/>
      <c r="AG393" s="25"/>
      <c r="AH393" s="16"/>
      <c r="AI393" s="25"/>
      <c r="AJ393" s="25"/>
      <c r="AL393" s="3"/>
      <c r="AM393" s="22"/>
      <c r="AN393" s="9"/>
      <c r="AO393" s="9"/>
      <c r="AP393" s="9"/>
      <c r="AQ393" s="9"/>
      <c r="AR393" s="2"/>
      <c r="AS393" s="31"/>
    </row>
    <row r="394" spans="1:45">
      <c r="A394" s="13">
        <v>29037</v>
      </c>
      <c r="B394" s="3">
        <v>51.590699999999998</v>
      </c>
      <c r="C394" s="24">
        <v>99006</v>
      </c>
      <c r="D394" s="24">
        <v>90214</v>
      </c>
      <c r="E394" s="2">
        <v>5.7</v>
      </c>
      <c r="F394" s="33">
        <v>1.2050999999999999E-2</v>
      </c>
      <c r="G394" s="33">
        <v>8.7460000000000003E-3</v>
      </c>
      <c r="H394" s="25">
        <v>9.1999999999999993</v>
      </c>
      <c r="I394" s="25">
        <v>10.29</v>
      </c>
      <c r="J394" s="25">
        <v>10.47</v>
      </c>
      <c r="K394" s="25">
        <v>10.87</v>
      </c>
      <c r="L394" s="25">
        <v>9.24</v>
      </c>
      <c r="M394" s="33">
        <v>50.5</v>
      </c>
      <c r="N394">
        <v>0.68654000000000004</v>
      </c>
      <c r="O394" s="31">
        <v>297.3</v>
      </c>
      <c r="P394" s="38">
        <v>198.9545</v>
      </c>
      <c r="Q394" s="22">
        <v>0.76079668241999998</v>
      </c>
      <c r="R394" s="38">
        <v>-0.22192100000000001</v>
      </c>
      <c r="T394" s="2"/>
      <c r="U394" s="2"/>
      <c r="V394" s="24"/>
      <c r="W394" s="24"/>
      <c r="X394" s="24"/>
      <c r="Y394" s="24"/>
      <c r="Z394" s="24"/>
      <c r="AA394" s="24"/>
      <c r="AB394" s="24"/>
      <c r="AC394" s="25"/>
      <c r="AD394" s="25"/>
      <c r="AE394" s="25"/>
      <c r="AF394" s="25"/>
      <c r="AG394" s="25"/>
      <c r="AH394" s="16"/>
      <c r="AI394" s="25"/>
      <c r="AJ394" s="25"/>
      <c r="AL394" s="3"/>
      <c r="AM394" s="22"/>
      <c r="AN394" s="9"/>
      <c r="AO394" s="9"/>
      <c r="AP394" s="9"/>
      <c r="AQ394" s="9"/>
      <c r="AR394" s="2"/>
      <c r="AS394" s="31"/>
    </row>
    <row r="395" spans="1:45">
      <c r="A395" s="13">
        <v>29068</v>
      </c>
      <c r="B395" s="3">
        <v>51.252000000000002</v>
      </c>
      <c r="C395" s="24">
        <v>98776</v>
      </c>
      <c r="D395" s="24">
        <v>90296</v>
      </c>
      <c r="E395" s="2">
        <v>6</v>
      </c>
      <c r="F395" s="33">
        <v>6.1865000000000003E-2</v>
      </c>
      <c r="G395" s="33">
        <v>5.3078E-2</v>
      </c>
      <c r="H395" s="25">
        <v>9.23</v>
      </c>
      <c r="I395" s="25">
        <v>10.35</v>
      </c>
      <c r="J395" s="25">
        <v>10.94</v>
      </c>
      <c r="K395" s="25">
        <v>11.53</v>
      </c>
      <c r="L395" s="25">
        <v>9.52</v>
      </c>
      <c r="M395" s="33">
        <v>52.6</v>
      </c>
      <c r="N395">
        <v>2.5123000000000002</v>
      </c>
      <c r="O395" s="31">
        <v>298.10000000000002</v>
      </c>
      <c r="P395" s="38">
        <v>90.916470000000004</v>
      </c>
      <c r="Q395" s="22">
        <v>0.32173276273599999</v>
      </c>
      <c r="R395" s="38">
        <v>-0.31511800000000001</v>
      </c>
      <c r="T395" s="2"/>
      <c r="U395" s="2"/>
      <c r="V395" s="24"/>
      <c r="W395" s="24"/>
      <c r="X395" s="24"/>
      <c r="Y395" s="24"/>
      <c r="Z395" s="24"/>
      <c r="AA395" s="24"/>
      <c r="AB395" s="24"/>
      <c r="AC395" s="25"/>
      <c r="AD395" s="25"/>
      <c r="AE395" s="25"/>
      <c r="AF395" s="25"/>
      <c r="AG395" s="25"/>
      <c r="AH395" s="16"/>
      <c r="AI395" s="25"/>
      <c r="AJ395" s="25"/>
      <c r="AL395" s="3"/>
      <c r="AM395" s="22"/>
      <c r="AN395" s="9"/>
      <c r="AO395" s="9"/>
      <c r="AP395" s="9"/>
      <c r="AQ395" s="9"/>
      <c r="AR395" s="2"/>
      <c r="AS395" s="31"/>
    </row>
    <row r="396" spans="1:45">
      <c r="A396" s="13">
        <v>29099</v>
      </c>
      <c r="B396" s="3">
        <v>51.323900000000002</v>
      </c>
      <c r="C396" s="24">
        <v>99340</v>
      </c>
      <c r="D396" s="24">
        <v>90323</v>
      </c>
      <c r="E396" s="2">
        <v>5.9</v>
      </c>
      <c r="F396" s="33">
        <v>1.4159999999999999E-3</v>
      </c>
      <c r="G396" s="33">
        <v>0</v>
      </c>
      <c r="H396" s="25">
        <v>9.44</v>
      </c>
      <c r="I396" s="25">
        <v>10.54</v>
      </c>
      <c r="J396" s="25">
        <v>11.43</v>
      </c>
      <c r="K396" s="25">
        <v>12.61</v>
      </c>
      <c r="L396" s="25">
        <v>10.26</v>
      </c>
      <c r="M396" s="33">
        <v>57.6</v>
      </c>
      <c r="N396">
        <v>3.4112</v>
      </c>
      <c r="O396" s="31">
        <v>297.3</v>
      </c>
      <c r="P396" s="38">
        <v>112.83459999999999</v>
      </c>
      <c r="Q396" s="22">
        <v>-0.224099536997</v>
      </c>
      <c r="R396" s="38">
        <v>-8.6944999999999995E-2</v>
      </c>
      <c r="T396" s="2"/>
      <c r="U396" s="2"/>
      <c r="V396" s="24"/>
      <c r="W396" s="24"/>
      <c r="X396" s="24"/>
      <c r="Y396" s="24"/>
      <c r="Z396" s="24"/>
      <c r="AA396" s="24"/>
      <c r="AB396" s="24"/>
      <c r="AC396" s="25"/>
      <c r="AD396" s="25"/>
      <c r="AE396" s="25"/>
      <c r="AF396" s="25"/>
      <c r="AG396" s="25"/>
      <c r="AH396" s="16"/>
      <c r="AI396" s="25"/>
      <c r="AJ396" s="25"/>
      <c r="AL396" s="3"/>
      <c r="AM396" s="22"/>
      <c r="AN396" s="9"/>
      <c r="AO396" s="9"/>
      <c r="AP396" s="9"/>
      <c r="AQ396" s="9"/>
      <c r="AR396" s="2"/>
      <c r="AS396" s="31"/>
    </row>
    <row r="397" spans="1:45">
      <c r="A397" s="13">
        <v>29129</v>
      </c>
      <c r="B397" s="3">
        <v>51.600200000000001</v>
      </c>
      <c r="C397" s="24">
        <v>99404</v>
      </c>
      <c r="D397" s="24">
        <v>90480</v>
      </c>
      <c r="E397" s="2">
        <v>6</v>
      </c>
      <c r="F397" s="33">
        <v>-6.5559999999999993E-2</v>
      </c>
      <c r="G397" s="33">
        <v>-6.8606E-2</v>
      </c>
      <c r="H397" s="25">
        <v>10.130000000000001</v>
      </c>
      <c r="I397" s="25">
        <v>11.4</v>
      </c>
      <c r="J397" s="25">
        <v>13.77</v>
      </c>
      <c r="K397" s="25">
        <v>14.59</v>
      </c>
      <c r="L397" s="25">
        <v>11.7</v>
      </c>
      <c r="M397" s="33">
        <v>59.5</v>
      </c>
      <c r="N397">
        <v>15.856999999999999</v>
      </c>
      <c r="O397" s="31">
        <v>307.7</v>
      </c>
      <c r="P397" s="38">
        <v>167.64789999999999</v>
      </c>
      <c r="Q397" s="22">
        <v>0</v>
      </c>
      <c r="R397" s="38">
        <v>-0.91292099999999998</v>
      </c>
      <c r="T397" s="2"/>
      <c r="U397" s="2"/>
      <c r="V397" s="24"/>
      <c r="W397" s="24"/>
      <c r="X397" s="24"/>
      <c r="Y397" s="24"/>
      <c r="Z397" s="24"/>
      <c r="AA397" s="24"/>
      <c r="AB397" s="24"/>
      <c r="AC397" s="25"/>
      <c r="AD397" s="25"/>
      <c r="AE397" s="25"/>
      <c r="AF397" s="25"/>
      <c r="AG397" s="25"/>
      <c r="AH397" s="16"/>
      <c r="AI397" s="25"/>
      <c r="AJ397" s="25"/>
      <c r="AL397" s="3"/>
      <c r="AM397" s="22"/>
      <c r="AN397" s="9"/>
      <c r="AO397" s="9"/>
      <c r="AP397" s="9"/>
      <c r="AQ397" s="9"/>
      <c r="AR397" s="2"/>
      <c r="AS397" s="31"/>
    </row>
    <row r="398" spans="1:45">
      <c r="A398" s="13">
        <v>29160</v>
      </c>
      <c r="B398" s="3">
        <v>51.548400000000001</v>
      </c>
      <c r="C398" s="24">
        <v>99574</v>
      </c>
      <c r="D398" s="24">
        <v>90574</v>
      </c>
      <c r="E398" s="2">
        <v>5.9</v>
      </c>
      <c r="F398" s="33">
        <v>5.2776999999999998E-2</v>
      </c>
      <c r="G398" s="33">
        <v>4.2624000000000002E-2</v>
      </c>
      <c r="H398" s="25">
        <v>10.76</v>
      </c>
      <c r="I398" s="25">
        <v>11.99</v>
      </c>
      <c r="J398" s="25">
        <v>13.18</v>
      </c>
      <c r="K398" s="25">
        <v>15</v>
      </c>
      <c r="L398" s="25">
        <v>11.79</v>
      </c>
      <c r="M398" s="33">
        <v>61.4</v>
      </c>
      <c r="N398">
        <v>-6.4656000000000002</v>
      </c>
      <c r="O398" s="31">
        <v>304</v>
      </c>
      <c r="P398" s="38">
        <v>153.3683</v>
      </c>
      <c r="Q398" s="22">
        <v>4.4937951291999997E-2</v>
      </c>
      <c r="R398" s="38">
        <v>-0.16266700000000001</v>
      </c>
      <c r="T398" s="2"/>
      <c r="U398" s="2"/>
      <c r="V398" s="24"/>
      <c r="W398" s="24"/>
      <c r="X398" s="24"/>
      <c r="Y398" s="24"/>
      <c r="Z398" s="24"/>
      <c r="AA398" s="24"/>
      <c r="AB398" s="24"/>
      <c r="AC398" s="25"/>
      <c r="AD398" s="25"/>
      <c r="AE398" s="25"/>
      <c r="AF398" s="25"/>
      <c r="AG398" s="25"/>
      <c r="AH398" s="16"/>
      <c r="AI398" s="25"/>
      <c r="AJ398" s="25"/>
      <c r="AL398" s="3"/>
      <c r="AM398" s="22"/>
      <c r="AN398" s="9"/>
      <c r="AO398" s="9"/>
      <c r="AP398" s="9"/>
      <c r="AQ398" s="9"/>
      <c r="AR398" s="2"/>
      <c r="AS398" s="31"/>
    </row>
    <row r="399" spans="1:45">
      <c r="A399" s="13">
        <v>29190</v>
      </c>
      <c r="B399" s="3">
        <v>51.584699999999998</v>
      </c>
      <c r="C399" s="24">
        <v>99933</v>
      </c>
      <c r="D399" s="24">
        <v>90669</v>
      </c>
      <c r="E399" s="2">
        <v>6</v>
      </c>
      <c r="F399" s="33">
        <v>1.8339999999999999E-2</v>
      </c>
      <c r="G399" s="33">
        <v>1.6767000000000001E-2</v>
      </c>
      <c r="H399" s="25">
        <v>10.74</v>
      </c>
      <c r="I399" s="25">
        <v>12.06</v>
      </c>
      <c r="J399" s="25">
        <v>13.78</v>
      </c>
      <c r="K399" s="25">
        <v>14.51</v>
      </c>
      <c r="L399" s="25">
        <v>12.04</v>
      </c>
      <c r="M399" s="33">
        <v>64.2</v>
      </c>
      <c r="N399">
        <v>3.2317</v>
      </c>
      <c r="O399" s="31">
        <v>309.60000000000002</v>
      </c>
      <c r="P399" s="38">
        <v>164.95949999999999</v>
      </c>
      <c r="Q399" s="22">
        <v>0</v>
      </c>
      <c r="R399" s="38">
        <v>0.13227800000000001</v>
      </c>
      <c r="T399" s="2"/>
      <c r="U399" s="2"/>
      <c r="V399" s="24"/>
      <c r="W399" s="24"/>
      <c r="X399" s="24"/>
      <c r="Y399" s="24"/>
      <c r="Z399" s="24"/>
      <c r="AA399" s="24"/>
      <c r="AB399" s="24"/>
      <c r="AC399" s="25"/>
      <c r="AD399" s="25"/>
      <c r="AE399" s="25"/>
      <c r="AF399" s="25"/>
      <c r="AG399" s="25"/>
      <c r="AH399" s="16"/>
      <c r="AI399" s="25"/>
      <c r="AJ399" s="25"/>
      <c r="AL399" s="3"/>
      <c r="AM399" s="22"/>
      <c r="AN399" s="9"/>
      <c r="AO399" s="9"/>
      <c r="AP399" s="9"/>
      <c r="AQ399" s="9"/>
      <c r="AR399" s="2"/>
      <c r="AS399" s="31"/>
    </row>
    <row r="400" spans="1:45">
      <c r="A400" s="13">
        <v>29221</v>
      </c>
      <c r="B400" s="3">
        <v>51.8063</v>
      </c>
      <c r="C400" s="24">
        <v>99879</v>
      </c>
      <c r="D400" s="24">
        <v>90800</v>
      </c>
      <c r="E400" s="2">
        <v>6.3</v>
      </c>
      <c r="F400" s="33">
        <v>6.1308000000000001E-2</v>
      </c>
      <c r="G400" s="33">
        <v>5.7625000000000003E-2</v>
      </c>
      <c r="H400" s="25">
        <v>11.09</v>
      </c>
      <c r="I400" s="25">
        <v>12.42</v>
      </c>
      <c r="J400" s="25">
        <v>13.82</v>
      </c>
      <c r="K400" s="25">
        <v>14.33</v>
      </c>
      <c r="L400" s="25">
        <v>12</v>
      </c>
      <c r="M400" s="33">
        <v>70</v>
      </c>
      <c r="N400">
        <v>-0.15351000000000001</v>
      </c>
      <c r="O400" s="31">
        <v>316.2</v>
      </c>
      <c r="P400" s="38">
        <v>174.5926</v>
      </c>
      <c r="Q400" s="22">
        <v>-1.1142424815E-2</v>
      </c>
      <c r="R400" s="38">
        <v>-9.9543999999999994E-2</v>
      </c>
      <c r="T400" s="2"/>
      <c r="U400" s="2"/>
      <c r="V400" s="24"/>
      <c r="W400" s="24"/>
      <c r="X400" s="24"/>
      <c r="Y400" s="24"/>
      <c r="Z400" s="24"/>
      <c r="AA400" s="24"/>
      <c r="AB400" s="24"/>
      <c r="AC400" s="25"/>
      <c r="AD400" s="25"/>
      <c r="AE400" s="25"/>
      <c r="AF400" s="25"/>
      <c r="AG400" s="25"/>
      <c r="AH400" s="16"/>
      <c r="AI400" s="25"/>
      <c r="AJ400" s="25"/>
      <c r="AL400" s="3"/>
      <c r="AM400" s="22"/>
      <c r="AN400" s="9"/>
      <c r="AO400" s="9"/>
      <c r="AP400" s="9"/>
      <c r="AQ400" s="9"/>
      <c r="AR400" s="2"/>
      <c r="AS400" s="31"/>
    </row>
    <row r="401" spans="1:45">
      <c r="A401" s="13">
        <v>29252</v>
      </c>
      <c r="B401" s="3">
        <v>51.847000000000001</v>
      </c>
      <c r="C401" s="24">
        <v>99995</v>
      </c>
      <c r="D401" s="24">
        <v>90879</v>
      </c>
      <c r="E401" s="2">
        <v>6.3</v>
      </c>
      <c r="F401" s="33">
        <v>2.611E-3</v>
      </c>
      <c r="G401" s="33">
        <v>-4.3800000000000002E-3</v>
      </c>
      <c r="H401" s="25">
        <v>12.38</v>
      </c>
      <c r="I401" s="25">
        <v>13.57</v>
      </c>
      <c r="J401" s="25">
        <v>14.13</v>
      </c>
      <c r="K401" s="25">
        <v>15.32</v>
      </c>
      <c r="L401" s="25">
        <v>12.86</v>
      </c>
      <c r="M401" s="33">
        <v>70.2</v>
      </c>
      <c r="N401">
        <v>2.2262</v>
      </c>
      <c r="O401" s="31">
        <v>322.5</v>
      </c>
      <c r="P401" s="38">
        <v>114.0654</v>
      </c>
      <c r="Q401" s="22">
        <v>0.19696443806899999</v>
      </c>
      <c r="R401" s="38">
        <v>-0.58580699999999997</v>
      </c>
      <c r="T401" s="2"/>
      <c r="U401" s="2"/>
      <c r="V401" s="24"/>
      <c r="W401" s="24"/>
      <c r="X401" s="24"/>
      <c r="Y401" s="24"/>
      <c r="Z401" s="24"/>
      <c r="AA401" s="24"/>
      <c r="AB401" s="24"/>
      <c r="AC401" s="25"/>
      <c r="AD401" s="25"/>
      <c r="AE401" s="25"/>
      <c r="AF401" s="25"/>
      <c r="AG401" s="25"/>
      <c r="AH401" s="16"/>
      <c r="AI401" s="25"/>
      <c r="AJ401" s="25"/>
      <c r="AL401" s="3"/>
      <c r="AM401" s="22"/>
      <c r="AN401" s="9"/>
      <c r="AO401" s="9"/>
      <c r="AP401" s="9"/>
      <c r="AQ401" s="9"/>
      <c r="AR401" s="2"/>
      <c r="AS401" s="31"/>
    </row>
    <row r="402" spans="1:45">
      <c r="A402" s="13">
        <v>29281</v>
      </c>
      <c r="B402" s="3">
        <v>51.687800000000003</v>
      </c>
      <c r="C402" s="24">
        <v>99713</v>
      </c>
      <c r="D402" s="24">
        <v>90991</v>
      </c>
      <c r="E402" s="2">
        <v>6.3</v>
      </c>
      <c r="F402" s="33">
        <v>-9.7517999999999994E-2</v>
      </c>
      <c r="G402" s="33">
        <v>-0.101795</v>
      </c>
      <c r="H402" s="25">
        <v>12.96</v>
      </c>
      <c r="I402" s="25">
        <v>14.45</v>
      </c>
      <c r="J402" s="25">
        <v>17.190000000000001</v>
      </c>
      <c r="K402" s="25">
        <v>18.71</v>
      </c>
      <c r="L402" s="25">
        <v>15.2</v>
      </c>
      <c r="M402" s="33">
        <v>71.3</v>
      </c>
      <c r="N402">
        <v>21.341000000000001</v>
      </c>
      <c r="O402" s="31">
        <v>316.89999999999998</v>
      </c>
      <c r="P402" s="38">
        <v>119.8381</v>
      </c>
      <c r="Q402" s="22">
        <v>1.42221867688</v>
      </c>
      <c r="R402" s="38">
        <v>0.26060499999999998</v>
      </c>
      <c r="T402" s="2"/>
      <c r="U402" s="2"/>
      <c r="V402" s="24"/>
      <c r="W402" s="24"/>
      <c r="X402" s="24"/>
      <c r="Y402" s="24"/>
      <c r="Z402" s="24"/>
      <c r="AA402" s="24"/>
      <c r="AB402" s="24"/>
      <c r="AC402" s="25"/>
      <c r="AD402" s="25"/>
      <c r="AE402" s="25"/>
      <c r="AF402" s="25"/>
      <c r="AG402" s="25"/>
      <c r="AH402" s="16"/>
      <c r="AI402" s="25"/>
      <c r="AJ402" s="25"/>
      <c r="AL402" s="3"/>
      <c r="AM402" s="22"/>
      <c r="AN402" s="9"/>
      <c r="AO402" s="9"/>
      <c r="AP402" s="9"/>
      <c r="AQ402" s="9"/>
      <c r="AR402" s="2"/>
      <c r="AS402" s="31"/>
    </row>
    <row r="403" spans="1:45">
      <c r="A403" s="13">
        <v>29312</v>
      </c>
      <c r="B403" s="3">
        <v>50.643999999999998</v>
      </c>
      <c r="C403" s="24">
        <v>99233</v>
      </c>
      <c r="D403" s="24">
        <v>90846</v>
      </c>
      <c r="E403" s="2">
        <v>6.9</v>
      </c>
      <c r="F403" s="33">
        <v>4.2394000000000001E-2</v>
      </c>
      <c r="G403" s="33">
        <v>4.1140000000000003E-2</v>
      </c>
      <c r="H403" s="25">
        <v>12.04</v>
      </c>
      <c r="I403" s="25">
        <v>14.19</v>
      </c>
      <c r="J403" s="25">
        <v>17.61</v>
      </c>
      <c r="K403" s="25">
        <v>17.809999999999999</v>
      </c>
      <c r="L403" s="25">
        <v>13.2</v>
      </c>
      <c r="M403" s="33">
        <v>72.8</v>
      </c>
      <c r="N403">
        <v>0.99917999999999996</v>
      </c>
      <c r="O403" s="31">
        <v>301.89999999999998</v>
      </c>
      <c r="P403" s="38">
        <v>135.51920000000001</v>
      </c>
      <c r="Q403" s="22">
        <v>-3.2208826351019999</v>
      </c>
      <c r="R403" s="38">
        <v>-0.733182</v>
      </c>
      <c r="T403" s="2"/>
      <c r="U403" s="2"/>
      <c r="V403" s="24"/>
      <c r="W403" s="24"/>
      <c r="X403" s="24"/>
      <c r="Y403" s="24"/>
      <c r="Z403" s="24"/>
      <c r="AA403" s="24"/>
      <c r="AB403" s="24"/>
      <c r="AC403" s="25"/>
      <c r="AD403" s="25"/>
      <c r="AE403" s="25"/>
      <c r="AF403" s="25"/>
      <c r="AG403" s="25"/>
      <c r="AH403" s="16"/>
      <c r="AI403" s="25"/>
      <c r="AJ403" s="25"/>
      <c r="AL403" s="3"/>
      <c r="AM403" s="22"/>
      <c r="AN403" s="9"/>
      <c r="AO403" s="9"/>
      <c r="AP403" s="9"/>
      <c r="AQ403" s="9"/>
      <c r="AR403" s="2"/>
      <c r="AS403" s="31"/>
    </row>
    <row r="404" spans="1:45">
      <c r="A404" s="13">
        <v>29342</v>
      </c>
      <c r="B404" s="3">
        <v>49.398899999999998</v>
      </c>
      <c r="C404" s="24">
        <v>98945</v>
      </c>
      <c r="D404" s="24">
        <v>90415</v>
      </c>
      <c r="E404" s="2">
        <v>7.5</v>
      </c>
      <c r="F404" s="33">
        <v>5.5559999999999998E-2</v>
      </c>
      <c r="G404" s="33">
        <v>4.6571000000000001E-2</v>
      </c>
      <c r="H404" s="25">
        <v>10.99</v>
      </c>
      <c r="I404" s="25">
        <v>13.17</v>
      </c>
      <c r="J404" s="25">
        <v>10.98</v>
      </c>
      <c r="K404" s="25">
        <v>11.2</v>
      </c>
      <c r="L404" s="25">
        <v>8.58</v>
      </c>
      <c r="M404" s="33">
        <v>73.599999999999994</v>
      </c>
      <c r="N404">
        <v>-45.37</v>
      </c>
      <c r="O404" s="31">
        <v>278.5</v>
      </c>
      <c r="P404" s="38">
        <v>129.01079999999999</v>
      </c>
      <c r="Q404" s="22">
        <v>-0.76385002917300004</v>
      </c>
      <c r="R404" s="38">
        <v>2.3880999999999999E-2</v>
      </c>
      <c r="T404" s="2"/>
      <c r="U404" s="2"/>
      <c r="V404" s="24"/>
      <c r="W404" s="24"/>
      <c r="X404" s="24"/>
      <c r="Y404" s="24"/>
      <c r="Z404" s="24"/>
      <c r="AA404" s="24"/>
      <c r="AB404" s="24"/>
      <c r="AC404" s="25"/>
      <c r="AD404" s="25"/>
      <c r="AE404" s="25"/>
      <c r="AF404" s="25"/>
      <c r="AG404" s="25"/>
      <c r="AH404" s="16"/>
      <c r="AI404" s="25"/>
      <c r="AJ404" s="25"/>
      <c r="AL404" s="3"/>
      <c r="AM404" s="22"/>
      <c r="AN404" s="9"/>
      <c r="AO404" s="9"/>
      <c r="AP404" s="9"/>
      <c r="AQ404" s="9"/>
      <c r="AR404" s="2"/>
      <c r="AS404" s="31"/>
    </row>
    <row r="405" spans="1:45">
      <c r="A405" s="13">
        <v>29373</v>
      </c>
      <c r="B405" s="3">
        <v>48.795699999999997</v>
      </c>
      <c r="C405" s="24">
        <v>98682</v>
      </c>
      <c r="D405" s="24">
        <v>90095</v>
      </c>
      <c r="E405" s="2">
        <v>7.6</v>
      </c>
      <c r="F405" s="33">
        <v>2.9721999999999998E-2</v>
      </c>
      <c r="G405" s="33">
        <v>2.6969E-2</v>
      </c>
      <c r="H405" s="25">
        <v>10.58</v>
      </c>
      <c r="I405" s="25">
        <v>12.71</v>
      </c>
      <c r="J405" s="25">
        <v>9.4700000000000006</v>
      </c>
      <c r="K405" s="25">
        <v>9.41</v>
      </c>
      <c r="L405" s="25">
        <v>7.07</v>
      </c>
      <c r="M405" s="33">
        <v>74.900000000000006</v>
      </c>
      <c r="N405">
        <v>-1.4354</v>
      </c>
      <c r="O405" s="31">
        <v>267.5</v>
      </c>
      <c r="P405" s="38">
        <v>115.9222</v>
      </c>
      <c r="Q405" s="22">
        <v>0</v>
      </c>
      <c r="R405" s="38">
        <v>-8.2182000000000005E-2</v>
      </c>
      <c r="T405" s="2"/>
      <c r="U405" s="2"/>
      <c r="V405" s="24"/>
      <c r="W405" s="24"/>
      <c r="X405" s="24"/>
      <c r="Y405" s="24"/>
      <c r="Z405" s="24"/>
      <c r="AA405" s="24"/>
      <c r="AB405" s="24"/>
      <c r="AC405" s="25"/>
      <c r="AD405" s="25"/>
      <c r="AE405" s="25"/>
      <c r="AF405" s="25"/>
      <c r="AG405" s="25"/>
      <c r="AH405" s="16"/>
      <c r="AI405" s="25"/>
      <c r="AJ405" s="25"/>
      <c r="AL405" s="3"/>
      <c r="AM405" s="22"/>
      <c r="AN405" s="9"/>
      <c r="AO405" s="9"/>
      <c r="AP405" s="9"/>
      <c r="AQ405" s="9"/>
      <c r="AR405" s="2"/>
      <c r="AS405" s="31"/>
    </row>
    <row r="406" spans="1:45">
      <c r="A406" s="13">
        <v>29403</v>
      </c>
      <c r="B406" s="3">
        <v>48.473599999999998</v>
      </c>
      <c r="C406" s="24">
        <v>98796</v>
      </c>
      <c r="D406" s="24">
        <v>89832</v>
      </c>
      <c r="E406" s="2">
        <v>7.8</v>
      </c>
      <c r="F406" s="33">
        <v>6.8199999999999997E-2</v>
      </c>
      <c r="G406" s="33">
        <v>6.5039E-2</v>
      </c>
      <c r="H406" s="25">
        <v>11.07</v>
      </c>
      <c r="I406" s="25">
        <v>12.65</v>
      </c>
      <c r="J406" s="25">
        <v>9.0299999999999994</v>
      </c>
      <c r="K406" s="25">
        <v>9.33</v>
      </c>
      <c r="L406" s="25">
        <v>8.06</v>
      </c>
      <c r="M406" s="33">
        <v>75.2</v>
      </c>
      <c r="N406">
        <v>5.1973000000000003</v>
      </c>
      <c r="O406" s="31">
        <v>277.60000000000002</v>
      </c>
      <c r="P406" s="38">
        <v>139.67529999999999</v>
      </c>
      <c r="Q406" s="22">
        <v>0.40311942700699999</v>
      </c>
      <c r="R406" s="38">
        <v>9.6726999999999994E-2</v>
      </c>
      <c r="T406" s="2"/>
      <c r="U406" s="2"/>
      <c r="V406" s="24"/>
      <c r="W406" s="24"/>
      <c r="X406" s="24"/>
      <c r="Y406" s="24"/>
      <c r="Z406" s="24"/>
      <c r="AA406" s="24"/>
      <c r="AB406" s="24"/>
      <c r="AC406" s="25"/>
      <c r="AD406" s="25"/>
      <c r="AE406" s="25"/>
      <c r="AF406" s="25"/>
      <c r="AG406" s="25"/>
      <c r="AH406" s="16"/>
      <c r="AI406" s="25"/>
      <c r="AJ406" s="25"/>
      <c r="AL406" s="3"/>
      <c r="AM406" s="22"/>
      <c r="AN406" s="9"/>
      <c r="AO406" s="9"/>
      <c r="AP406" s="9"/>
      <c r="AQ406" s="9"/>
      <c r="AR406" s="2"/>
      <c r="AS406" s="31"/>
    </row>
    <row r="407" spans="1:45">
      <c r="A407" s="13">
        <v>29434</v>
      </c>
      <c r="B407" s="3">
        <v>48.613100000000003</v>
      </c>
      <c r="C407" s="24">
        <v>98824</v>
      </c>
      <c r="D407" s="24">
        <v>90092</v>
      </c>
      <c r="E407" s="2">
        <v>7.7</v>
      </c>
      <c r="F407" s="33">
        <v>1.3454000000000001E-2</v>
      </c>
      <c r="G407" s="33">
        <v>5.8349999999999999E-3</v>
      </c>
      <c r="H407" s="25">
        <v>11.64</v>
      </c>
      <c r="I407" s="25">
        <v>13.15</v>
      </c>
      <c r="J407" s="25">
        <v>9.61</v>
      </c>
      <c r="K407" s="25">
        <v>10.82</v>
      </c>
      <c r="L407" s="25">
        <v>9.1300000000000008</v>
      </c>
      <c r="M407" s="33">
        <v>77.3</v>
      </c>
      <c r="N407">
        <v>9.2972000000000001</v>
      </c>
      <c r="O407" s="31">
        <v>292.10000000000002</v>
      </c>
      <c r="P407" s="38">
        <v>115.41370000000001</v>
      </c>
      <c r="Q407" s="22">
        <v>-0.19814773743799999</v>
      </c>
      <c r="R407" s="38">
        <v>-3.7940000000000002E-2</v>
      </c>
      <c r="T407" s="2"/>
      <c r="U407" s="2"/>
      <c r="V407" s="24"/>
      <c r="W407" s="24"/>
      <c r="X407" s="24"/>
      <c r="Y407" s="24"/>
      <c r="Z407" s="24"/>
      <c r="AA407" s="24"/>
      <c r="AB407" s="24"/>
      <c r="AC407" s="25"/>
      <c r="AD407" s="25"/>
      <c r="AE407" s="25"/>
      <c r="AF407" s="25"/>
      <c r="AG407" s="25"/>
      <c r="AH407" s="16"/>
      <c r="AI407" s="25"/>
      <c r="AJ407" s="25"/>
      <c r="AL407" s="3"/>
      <c r="AM407" s="22"/>
      <c r="AN407" s="9"/>
      <c r="AO407" s="9"/>
      <c r="AP407" s="9"/>
      <c r="AQ407" s="9"/>
      <c r="AR407" s="2"/>
      <c r="AS407" s="31"/>
    </row>
    <row r="408" spans="1:45">
      <c r="A408" s="13">
        <v>29465</v>
      </c>
      <c r="B408" s="3">
        <v>49.395899999999997</v>
      </c>
      <c r="C408" s="24">
        <v>99077</v>
      </c>
      <c r="D408" s="24">
        <v>90205</v>
      </c>
      <c r="E408" s="2">
        <v>7.5</v>
      </c>
      <c r="F408" s="33">
        <v>2.7935000000000001E-2</v>
      </c>
      <c r="G408" s="33">
        <v>2.5167999999999999E-2</v>
      </c>
      <c r="H408" s="25">
        <v>12.02</v>
      </c>
      <c r="I408" s="25">
        <v>13.7</v>
      </c>
      <c r="J408" s="25">
        <v>10.87</v>
      </c>
      <c r="K408" s="25">
        <v>12.07</v>
      </c>
      <c r="L408" s="25">
        <v>10.27</v>
      </c>
      <c r="M408" s="33">
        <v>77.900000000000006</v>
      </c>
      <c r="N408">
        <v>9.9337</v>
      </c>
      <c r="O408" s="31">
        <v>298.3</v>
      </c>
      <c r="P408" s="38">
        <v>108.693</v>
      </c>
      <c r="Q408" s="22">
        <v>0.77087134058999995</v>
      </c>
      <c r="R408" s="38">
        <v>-7.1970000000000006E-2</v>
      </c>
      <c r="T408" s="2"/>
      <c r="U408" s="2"/>
      <c r="V408" s="24"/>
      <c r="W408" s="24"/>
      <c r="X408" s="24"/>
      <c r="Y408" s="24"/>
      <c r="Z408" s="24"/>
      <c r="AA408" s="24"/>
      <c r="AB408" s="24"/>
      <c r="AC408" s="25"/>
      <c r="AD408" s="25"/>
      <c r="AE408" s="25"/>
      <c r="AF408" s="25"/>
      <c r="AG408" s="25"/>
      <c r="AH408" s="16"/>
      <c r="AI408" s="25"/>
      <c r="AJ408" s="25"/>
      <c r="AL408" s="3"/>
      <c r="AM408" s="22"/>
      <c r="AN408" s="9"/>
      <c r="AO408" s="9"/>
      <c r="AP408" s="9"/>
      <c r="AQ408" s="9"/>
      <c r="AR408" s="2"/>
      <c r="AS408" s="31"/>
    </row>
    <row r="409" spans="1:45">
      <c r="A409" s="13">
        <v>29495</v>
      </c>
      <c r="B409" s="3">
        <v>50.015900000000002</v>
      </c>
      <c r="C409" s="24">
        <v>99317</v>
      </c>
      <c r="D409" s="24">
        <v>90485</v>
      </c>
      <c r="E409" s="2">
        <v>7.5</v>
      </c>
      <c r="F409" s="33">
        <v>1.7808999999999998E-2</v>
      </c>
      <c r="G409" s="33">
        <v>1.6021000000000001E-2</v>
      </c>
      <c r="H409" s="25">
        <v>12.31</v>
      </c>
      <c r="I409" s="25">
        <v>14.23</v>
      </c>
      <c r="J409" s="25">
        <v>12.81</v>
      </c>
      <c r="K409" s="25">
        <v>13.55</v>
      </c>
      <c r="L409" s="25">
        <v>11.62</v>
      </c>
      <c r="M409" s="33">
        <v>79</v>
      </c>
      <c r="N409">
        <v>11.499000000000001</v>
      </c>
      <c r="O409" s="31">
        <v>300.8</v>
      </c>
      <c r="P409" s="38">
        <v>110.7458</v>
      </c>
      <c r="Q409" s="22">
        <v>1.218139599183</v>
      </c>
      <c r="R409" s="38">
        <v>-0.29772199999999999</v>
      </c>
      <c r="T409" s="2"/>
      <c r="U409" s="2"/>
      <c r="V409" s="24"/>
      <c r="W409" s="24"/>
      <c r="X409" s="24"/>
      <c r="Y409" s="24"/>
      <c r="Z409" s="24"/>
      <c r="AA409" s="24"/>
      <c r="AB409" s="24"/>
      <c r="AC409" s="25"/>
      <c r="AD409" s="25"/>
      <c r="AE409" s="25"/>
      <c r="AF409" s="25"/>
      <c r="AG409" s="25"/>
      <c r="AH409" s="16"/>
      <c r="AI409" s="25"/>
      <c r="AJ409" s="25"/>
      <c r="AL409" s="3"/>
      <c r="AM409" s="22"/>
      <c r="AN409" s="9"/>
      <c r="AO409" s="9"/>
      <c r="AP409" s="9"/>
      <c r="AQ409" s="9"/>
      <c r="AR409" s="2"/>
      <c r="AS409" s="31"/>
    </row>
    <row r="410" spans="1:45">
      <c r="A410" s="13">
        <v>29526</v>
      </c>
      <c r="B410" s="3">
        <v>50.879100000000001</v>
      </c>
      <c r="C410" s="24">
        <v>99545</v>
      </c>
      <c r="D410" s="24">
        <v>90741</v>
      </c>
      <c r="E410" s="2">
        <v>7.5</v>
      </c>
      <c r="F410" s="33">
        <v>0.10990999999999999</v>
      </c>
      <c r="G410" s="33">
        <v>0.102377</v>
      </c>
      <c r="H410" s="25">
        <v>12.97</v>
      </c>
      <c r="I410" s="25">
        <v>14.64</v>
      </c>
      <c r="J410" s="25">
        <v>15.85</v>
      </c>
      <c r="K410" s="25">
        <v>16.46</v>
      </c>
      <c r="L410" s="25">
        <v>13.73</v>
      </c>
      <c r="M410" s="33">
        <v>81.900000000000006</v>
      </c>
      <c r="N410">
        <v>16.483000000000001</v>
      </c>
      <c r="O410" s="31">
        <v>304.7</v>
      </c>
      <c r="P410" s="38">
        <v>132.61449999999999</v>
      </c>
      <c r="Q410" s="22">
        <v>1.8714169164900001</v>
      </c>
      <c r="R410" s="38">
        <v>0.26726699999999998</v>
      </c>
      <c r="T410" s="2"/>
      <c r="U410" s="2"/>
      <c r="V410" s="24"/>
      <c r="W410" s="24"/>
      <c r="X410" s="24"/>
      <c r="Y410" s="24"/>
      <c r="Z410" s="24"/>
      <c r="AA410" s="24"/>
      <c r="AB410" s="24"/>
      <c r="AC410" s="25"/>
      <c r="AD410" s="25"/>
      <c r="AE410" s="25"/>
      <c r="AF410" s="25"/>
      <c r="AG410" s="25"/>
      <c r="AH410" s="16"/>
      <c r="AI410" s="25"/>
      <c r="AJ410" s="25"/>
      <c r="AL410" s="3"/>
      <c r="AM410" s="22"/>
      <c r="AN410" s="9"/>
      <c r="AO410" s="9"/>
      <c r="AP410" s="9"/>
      <c r="AQ410" s="9"/>
      <c r="AR410" s="2"/>
      <c r="AS410" s="31"/>
    </row>
    <row r="411" spans="1:45">
      <c r="A411" s="13">
        <v>29556</v>
      </c>
      <c r="B411" s="3">
        <v>51.18</v>
      </c>
      <c r="C411" s="24">
        <v>99634</v>
      </c>
      <c r="D411" s="24">
        <v>90936</v>
      </c>
      <c r="E411" s="2">
        <v>7.2</v>
      </c>
      <c r="F411" s="33">
        <v>-3.0634000000000002E-2</v>
      </c>
      <c r="G411" s="33">
        <v>-3.3874000000000001E-2</v>
      </c>
      <c r="H411" s="25">
        <v>13.21</v>
      </c>
      <c r="I411" s="25">
        <v>15.14</v>
      </c>
      <c r="J411" s="25">
        <v>18.899999999999999</v>
      </c>
      <c r="K411" s="25">
        <v>19.47</v>
      </c>
      <c r="L411" s="25">
        <v>15.49</v>
      </c>
      <c r="M411" s="33">
        <v>86.3</v>
      </c>
      <c r="N411">
        <v>16.678000000000001</v>
      </c>
      <c r="O411" s="31">
        <v>298.39999999999998</v>
      </c>
      <c r="P411" s="38">
        <v>106.3424</v>
      </c>
      <c r="Q411" s="22">
        <v>-0.634159912888</v>
      </c>
      <c r="R411" s="38">
        <v>-9.9254999999999996E-2</v>
      </c>
      <c r="T411" s="2"/>
      <c r="U411" s="2"/>
      <c r="V411" s="24"/>
      <c r="W411" s="24"/>
      <c r="X411" s="24"/>
      <c r="Y411" s="24"/>
      <c r="Z411" s="24"/>
      <c r="AA411" s="24"/>
      <c r="AB411" s="24"/>
      <c r="AC411" s="25"/>
      <c r="AD411" s="25"/>
      <c r="AE411" s="25"/>
      <c r="AF411" s="25"/>
      <c r="AG411" s="25"/>
      <c r="AH411" s="16"/>
      <c r="AI411" s="25"/>
      <c r="AJ411" s="25"/>
      <c r="AL411" s="3"/>
      <c r="AM411" s="22"/>
      <c r="AN411" s="9"/>
      <c r="AO411" s="9"/>
      <c r="AP411" s="9"/>
      <c r="AQ411" s="9"/>
      <c r="AR411" s="2"/>
      <c r="AS411" s="31"/>
    </row>
    <row r="412" spans="1:45">
      <c r="A412" s="13">
        <v>29587</v>
      </c>
      <c r="B412" s="3">
        <v>50.896700000000003</v>
      </c>
      <c r="C412" s="24">
        <v>99955</v>
      </c>
      <c r="D412" s="24">
        <v>91031</v>
      </c>
      <c r="E412" s="2">
        <v>7.5</v>
      </c>
      <c r="F412" s="33">
        <v>-4.3369999999999999E-2</v>
      </c>
      <c r="G412" s="33">
        <v>-4.5741999999999998E-2</v>
      </c>
      <c r="H412" s="25">
        <v>12.81</v>
      </c>
      <c r="I412" s="25">
        <v>15.03</v>
      </c>
      <c r="J412" s="25">
        <v>19.079999999999998</v>
      </c>
      <c r="K412" s="25">
        <v>18.07</v>
      </c>
      <c r="L412" s="25">
        <v>15.02</v>
      </c>
      <c r="M412" s="33">
        <v>96.1</v>
      </c>
      <c r="N412">
        <v>-3.6705000000000001</v>
      </c>
      <c r="O412" s="31">
        <v>291.60000000000002</v>
      </c>
      <c r="P412" s="38">
        <v>137.34479999999999</v>
      </c>
      <c r="Q412" s="22">
        <v>0</v>
      </c>
      <c r="R412" s="38">
        <v>0.32869399999999999</v>
      </c>
      <c r="T412" s="2"/>
      <c r="U412" s="2"/>
      <c r="V412" s="24"/>
      <c r="W412" s="24"/>
      <c r="X412" s="24"/>
      <c r="Y412" s="24"/>
      <c r="Z412" s="24"/>
      <c r="AA412" s="24"/>
      <c r="AB412" s="24"/>
      <c r="AC412" s="25"/>
      <c r="AD412" s="25"/>
      <c r="AE412" s="25"/>
      <c r="AF412" s="25"/>
      <c r="AG412" s="25"/>
      <c r="AH412" s="16"/>
      <c r="AI412" s="25"/>
      <c r="AJ412" s="25"/>
      <c r="AL412" s="3"/>
      <c r="AM412" s="22"/>
      <c r="AN412" s="9"/>
      <c r="AO412" s="9"/>
      <c r="AP412" s="9"/>
      <c r="AQ412" s="9"/>
      <c r="AR412" s="2"/>
      <c r="AS412" s="31"/>
    </row>
    <row r="413" spans="1:45">
      <c r="A413" s="13">
        <v>29618</v>
      </c>
      <c r="B413" s="3">
        <v>50.660200000000003</v>
      </c>
      <c r="C413" s="24">
        <v>100191</v>
      </c>
      <c r="D413" s="24">
        <v>91098</v>
      </c>
      <c r="E413" s="2">
        <v>7.4</v>
      </c>
      <c r="F413" s="33">
        <v>2.1267000000000001E-2</v>
      </c>
      <c r="G413" s="33">
        <v>1.3277000000000001E-2</v>
      </c>
      <c r="H413" s="25">
        <v>13.35</v>
      </c>
      <c r="I413" s="25">
        <v>15.37</v>
      </c>
      <c r="J413" s="25">
        <v>15.93</v>
      </c>
      <c r="K413" s="25">
        <v>17.18</v>
      </c>
      <c r="L413" s="25">
        <v>14.79</v>
      </c>
      <c r="M413" s="33">
        <v>114.9</v>
      </c>
      <c r="N413">
        <v>-21.706</v>
      </c>
      <c r="O413" s="31">
        <v>284.2</v>
      </c>
      <c r="P413" s="38">
        <v>129.82650000000001</v>
      </c>
      <c r="Q413" s="22">
        <v>-0.78348417458499997</v>
      </c>
      <c r="R413" s="38">
        <v>0.10606500000000001</v>
      </c>
      <c r="T413" s="2"/>
      <c r="U413" s="2"/>
      <c r="V413" s="24"/>
      <c r="W413" s="24"/>
      <c r="X413" s="24"/>
      <c r="Y413" s="24"/>
      <c r="Z413" s="24"/>
      <c r="AA413" s="24"/>
      <c r="AB413" s="24"/>
      <c r="AC413" s="25"/>
      <c r="AD413" s="25"/>
      <c r="AE413" s="25"/>
      <c r="AF413" s="25"/>
      <c r="AG413" s="25"/>
      <c r="AH413" s="16"/>
      <c r="AI413" s="25"/>
      <c r="AJ413" s="25"/>
      <c r="AL413" s="3"/>
      <c r="AM413" s="22"/>
      <c r="AN413" s="9"/>
      <c r="AO413" s="9"/>
      <c r="AP413" s="9"/>
      <c r="AQ413" s="9"/>
      <c r="AR413" s="2"/>
      <c r="AS413" s="31"/>
    </row>
    <row r="414" spans="1:45">
      <c r="A414" s="13">
        <v>29646</v>
      </c>
      <c r="B414" s="3">
        <v>50.923299999999998</v>
      </c>
      <c r="C414" s="24">
        <v>100571</v>
      </c>
      <c r="D414" s="24">
        <v>91202</v>
      </c>
      <c r="E414" s="2">
        <v>7.4</v>
      </c>
      <c r="F414" s="33">
        <v>3.8285E-2</v>
      </c>
      <c r="G414" s="33">
        <v>3.6033000000000003E-2</v>
      </c>
      <c r="H414" s="25">
        <v>13.33</v>
      </c>
      <c r="I414" s="25">
        <v>15.34</v>
      </c>
      <c r="J414" s="25">
        <v>14.7</v>
      </c>
      <c r="K414" s="25">
        <v>15.36</v>
      </c>
      <c r="L414" s="25">
        <v>13.36</v>
      </c>
      <c r="M414" s="33">
        <v>114.9</v>
      </c>
      <c r="N414">
        <v>-4.2336999999999998</v>
      </c>
      <c r="O414" s="31">
        <v>289.8</v>
      </c>
      <c r="P414" s="38">
        <v>111.6353</v>
      </c>
      <c r="Q414" s="22">
        <v>0.30737834918500001</v>
      </c>
      <c r="R414" s="38">
        <v>-3.6797999999999997E-2</v>
      </c>
      <c r="T414" s="2"/>
      <c r="U414" s="2"/>
      <c r="V414" s="24"/>
      <c r="W414" s="24"/>
      <c r="X414" s="24"/>
      <c r="Y414" s="24"/>
      <c r="Z414" s="24"/>
      <c r="AA414" s="24"/>
      <c r="AB414" s="24"/>
      <c r="AC414" s="25"/>
      <c r="AD414" s="25"/>
      <c r="AE414" s="25"/>
      <c r="AF414" s="25"/>
      <c r="AG414" s="25"/>
      <c r="AH414" s="16"/>
      <c r="AI414" s="25"/>
      <c r="AJ414" s="25"/>
      <c r="AL414" s="3"/>
      <c r="AM414" s="22"/>
      <c r="AN414" s="9"/>
      <c r="AO414" s="9"/>
      <c r="AP414" s="9"/>
      <c r="AQ414" s="9"/>
      <c r="AR414" s="2"/>
      <c r="AS414" s="31"/>
    </row>
    <row r="415" spans="1:45">
      <c r="A415" s="13">
        <v>29677</v>
      </c>
      <c r="B415" s="3">
        <v>50.705199999999998</v>
      </c>
      <c r="C415" s="24">
        <v>101056</v>
      </c>
      <c r="D415" s="24">
        <v>91276</v>
      </c>
      <c r="E415" s="2">
        <v>7.2</v>
      </c>
      <c r="F415" s="33">
        <v>-2.0211E-2</v>
      </c>
      <c r="G415" s="33">
        <v>-2.3456000000000001E-2</v>
      </c>
      <c r="H415" s="25">
        <v>13.88</v>
      </c>
      <c r="I415" s="25">
        <v>15.56</v>
      </c>
      <c r="J415" s="25">
        <v>15.72</v>
      </c>
      <c r="K415" s="25">
        <v>15.95</v>
      </c>
      <c r="L415" s="25">
        <v>13.69</v>
      </c>
      <c r="M415" s="33">
        <v>114.9</v>
      </c>
      <c r="N415">
        <v>11.648999999999999</v>
      </c>
      <c r="O415" s="31">
        <v>293</v>
      </c>
      <c r="P415" s="38">
        <v>135.9838</v>
      </c>
      <c r="Q415" s="22">
        <v>0</v>
      </c>
      <c r="R415" s="38">
        <v>0.50265899999999997</v>
      </c>
      <c r="T415" s="2"/>
      <c r="U415" s="2"/>
      <c r="V415" s="24"/>
      <c r="W415" s="24"/>
      <c r="X415" s="24"/>
      <c r="Y415" s="24"/>
      <c r="Z415" s="24"/>
      <c r="AA415" s="24"/>
      <c r="AB415" s="24"/>
      <c r="AC415" s="25"/>
      <c r="AD415" s="25"/>
      <c r="AE415" s="25"/>
      <c r="AF415" s="25"/>
      <c r="AG415" s="25"/>
      <c r="AH415" s="16"/>
      <c r="AI415" s="25"/>
      <c r="AJ415" s="25"/>
      <c r="AL415" s="3"/>
      <c r="AM415" s="22"/>
      <c r="AN415" s="9"/>
      <c r="AO415" s="9"/>
      <c r="AP415" s="9"/>
      <c r="AQ415" s="9"/>
      <c r="AR415" s="2"/>
      <c r="AS415" s="31"/>
    </row>
    <row r="416" spans="1:45">
      <c r="A416" s="13">
        <v>29707</v>
      </c>
      <c r="B416" s="3">
        <v>51.016599999999997</v>
      </c>
      <c r="C416" s="24">
        <v>101048</v>
      </c>
      <c r="D416" s="24">
        <v>91286</v>
      </c>
      <c r="E416" s="2">
        <v>7.5</v>
      </c>
      <c r="F416" s="33">
        <v>6.5389999999999997E-3</v>
      </c>
      <c r="G416" s="33">
        <v>-1.6570000000000001E-3</v>
      </c>
      <c r="H416" s="25">
        <v>14.32</v>
      </c>
      <c r="I416" s="25">
        <v>15.95</v>
      </c>
      <c r="J416" s="25">
        <v>18.52</v>
      </c>
      <c r="K416" s="25">
        <v>19.059999999999999</v>
      </c>
      <c r="L416" s="25">
        <v>16.3</v>
      </c>
      <c r="M416" s="33">
        <v>114.5</v>
      </c>
      <c r="N416">
        <v>22.766999999999999</v>
      </c>
      <c r="O416" s="31">
        <v>288.89999999999998</v>
      </c>
      <c r="P416" s="38">
        <v>110.9906</v>
      </c>
      <c r="Q416" s="22">
        <v>1.514907827349</v>
      </c>
      <c r="R416" s="38">
        <v>0.26548899999999998</v>
      </c>
      <c r="T416" s="2"/>
      <c r="U416" s="2"/>
      <c r="V416" s="24"/>
      <c r="W416" s="24"/>
      <c r="X416" s="24"/>
      <c r="Y416" s="24"/>
      <c r="Z416" s="24"/>
      <c r="AA416" s="24"/>
      <c r="AB416" s="24"/>
      <c r="AC416" s="25"/>
      <c r="AD416" s="25"/>
      <c r="AE416" s="25"/>
      <c r="AF416" s="25"/>
      <c r="AG416" s="25"/>
      <c r="AH416" s="16"/>
      <c r="AI416" s="25"/>
      <c r="AJ416" s="25"/>
      <c r="AL416" s="3"/>
      <c r="AM416" s="22"/>
      <c r="AN416" s="9"/>
      <c r="AO416" s="9"/>
      <c r="AP416" s="9"/>
      <c r="AQ416" s="9"/>
      <c r="AR416" s="2"/>
      <c r="AS416" s="31"/>
    </row>
    <row r="417" spans="1:45">
      <c r="A417" s="13">
        <v>29738</v>
      </c>
      <c r="B417" s="3">
        <v>51.252000000000002</v>
      </c>
      <c r="C417" s="24">
        <v>100298</v>
      </c>
      <c r="D417" s="24">
        <v>91482</v>
      </c>
      <c r="E417" s="2">
        <v>7.5</v>
      </c>
      <c r="F417" s="33">
        <v>-8.2550000000000002E-3</v>
      </c>
      <c r="G417" s="33">
        <v>-1.0408000000000001E-2</v>
      </c>
      <c r="H417" s="25">
        <v>13.75</v>
      </c>
      <c r="I417" s="25">
        <v>15.8</v>
      </c>
      <c r="J417" s="25">
        <v>19.100000000000001</v>
      </c>
      <c r="K417" s="25">
        <v>17.86</v>
      </c>
      <c r="L417" s="25">
        <v>14.73</v>
      </c>
      <c r="M417" s="33">
        <v>111.3</v>
      </c>
      <c r="N417">
        <v>3.9731000000000001</v>
      </c>
      <c r="O417" s="31">
        <v>282.89999999999998</v>
      </c>
      <c r="P417" s="38">
        <v>153.01079999999999</v>
      </c>
      <c r="Q417" s="22">
        <v>0</v>
      </c>
      <c r="R417" s="38">
        <v>0.42584499999999997</v>
      </c>
      <c r="T417" s="2"/>
      <c r="U417" s="2"/>
      <c r="V417" s="24"/>
      <c r="W417" s="24"/>
      <c r="X417" s="24"/>
      <c r="Y417" s="24"/>
      <c r="Z417" s="24"/>
      <c r="AA417" s="24"/>
      <c r="AB417" s="24"/>
      <c r="AC417" s="25"/>
      <c r="AD417" s="25"/>
      <c r="AE417" s="25"/>
      <c r="AF417" s="25"/>
      <c r="AG417" s="25"/>
      <c r="AH417" s="16"/>
      <c r="AI417" s="25"/>
      <c r="AJ417" s="25"/>
      <c r="AL417" s="3"/>
      <c r="AM417" s="22"/>
      <c r="AN417" s="9"/>
      <c r="AO417" s="9"/>
      <c r="AP417" s="9"/>
      <c r="AQ417" s="9"/>
      <c r="AR417" s="2"/>
      <c r="AS417" s="31"/>
    </row>
    <row r="418" spans="1:45">
      <c r="A418" s="13">
        <v>29768</v>
      </c>
      <c r="B418" s="3">
        <v>51.574100000000001</v>
      </c>
      <c r="C418" s="24">
        <v>100693</v>
      </c>
      <c r="D418" s="24">
        <v>91594</v>
      </c>
      <c r="E418" s="2">
        <v>7.2</v>
      </c>
      <c r="F418" s="33">
        <v>7.1400000000000001E-4</v>
      </c>
      <c r="G418" s="33">
        <v>-2.2100000000000002E-3</v>
      </c>
      <c r="H418" s="25">
        <v>14.38</v>
      </c>
      <c r="I418" s="25">
        <v>16.170000000000002</v>
      </c>
      <c r="J418" s="25">
        <v>19.04</v>
      </c>
      <c r="K418" s="25">
        <v>18.489999999999998</v>
      </c>
      <c r="L418" s="25">
        <v>14.95</v>
      </c>
      <c r="M418" s="33">
        <v>108.9</v>
      </c>
      <c r="N418">
        <v>-0.24623999999999999</v>
      </c>
      <c r="O418" s="31">
        <v>286.60000000000002</v>
      </c>
      <c r="P418" s="38">
        <v>122.4742</v>
      </c>
      <c r="Q418" s="22">
        <v>-0.61096062483699998</v>
      </c>
      <c r="R418" s="38">
        <v>0.412248</v>
      </c>
      <c r="T418" s="2"/>
      <c r="U418" s="2"/>
      <c r="V418" s="24"/>
      <c r="W418" s="24"/>
      <c r="X418" s="24"/>
      <c r="Y418" s="24"/>
      <c r="Z418" s="24"/>
      <c r="AA418" s="24"/>
      <c r="AB418" s="24"/>
      <c r="AC418" s="25"/>
      <c r="AD418" s="25"/>
      <c r="AE418" s="25"/>
      <c r="AF418" s="25"/>
      <c r="AG418" s="25"/>
      <c r="AH418" s="16"/>
      <c r="AI418" s="25"/>
      <c r="AJ418" s="25"/>
      <c r="AL418" s="3"/>
      <c r="AM418" s="22"/>
      <c r="AN418" s="9"/>
      <c r="AO418" s="9"/>
      <c r="AP418" s="9"/>
      <c r="AQ418" s="9"/>
      <c r="AR418" s="2"/>
      <c r="AS418" s="31"/>
    </row>
    <row r="419" spans="1:45">
      <c r="A419" s="13">
        <v>29799</v>
      </c>
      <c r="B419" s="3">
        <v>51.570500000000003</v>
      </c>
      <c r="C419" s="24">
        <v>100689</v>
      </c>
      <c r="D419" s="24">
        <v>91558</v>
      </c>
      <c r="E419" s="2">
        <v>7.4</v>
      </c>
      <c r="F419" s="33">
        <v>-5.5539999999999999E-2</v>
      </c>
      <c r="G419" s="33">
        <v>-6.2099000000000001E-2</v>
      </c>
      <c r="H419" s="25">
        <v>14.89</v>
      </c>
      <c r="I419" s="25">
        <v>16.34</v>
      </c>
      <c r="J419" s="25">
        <v>17.82</v>
      </c>
      <c r="K419" s="25">
        <v>18.79</v>
      </c>
      <c r="L419" s="25">
        <v>15.51</v>
      </c>
      <c r="M419" s="33">
        <v>108.7</v>
      </c>
      <c r="N419">
        <v>-8.1491000000000007</v>
      </c>
      <c r="O419" s="31">
        <v>289.5</v>
      </c>
      <c r="P419" s="38">
        <v>126.4559</v>
      </c>
      <c r="Q419" s="22">
        <v>-4.0543090762000002E-2</v>
      </c>
      <c r="R419" s="38">
        <v>0.239736</v>
      </c>
      <c r="T419" s="2"/>
      <c r="U419" s="2"/>
      <c r="V419" s="24"/>
      <c r="W419" s="24"/>
      <c r="X419" s="24"/>
      <c r="Y419" s="24"/>
      <c r="Z419" s="24"/>
      <c r="AA419" s="24"/>
      <c r="AB419" s="24"/>
      <c r="AC419" s="25"/>
      <c r="AD419" s="25"/>
      <c r="AE419" s="25"/>
      <c r="AF419" s="25"/>
      <c r="AG419" s="25"/>
      <c r="AH419" s="16"/>
      <c r="AI419" s="25"/>
      <c r="AJ419" s="25"/>
      <c r="AL419" s="3"/>
      <c r="AM419" s="22"/>
      <c r="AN419" s="9"/>
      <c r="AO419" s="9"/>
      <c r="AP419" s="9"/>
      <c r="AQ419" s="9"/>
      <c r="AR419" s="2"/>
      <c r="AS419" s="31"/>
    </row>
    <row r="420" spans="1:45">
      <c r="A420" s="13">
        <v>29830</v>
      </c>
      <c r="B420" s="3">
        <v>51.2438</v>
      </c>
      <c r="C420" s="24">
        <v>100064</v>
      </c>
      <c r="D420" s="24">
        <v>91471</v>
      </c>
      <c r="E420" s="2">
        <v>7.6</v>
      </c>
      <c r="F420" s="33">
        <v>-5.0465999999999997E-2</v>
      </c>
      <c r="G420" s="33">
        <v>-5.3831999999999998E-2</v>
      </c>
      <c r="H420" s="25">
        <v>15.49</v>
      </c>
      <c r="I420" s="25">
        <v>16.920000000000002</v>
      </c>
      <c r="J420" s="25">
        <v>15.87</v>
      </c>
      <c r="K420" s="25">
        <v>17.8</v>
      </c>
      <c r="L420" s="25">
        <v>14.7</v>
      </c>
      <c r="M420" s="33">
        <v>108.7</v>
      </c>
      <c r="N420">
        <v>-11.651999999999999</v>
      </c>
      <c r="O420" s="31">
        <v>283</v>
      </c>
      <c r="P420" s="38">
        <v>158.13339999999999</v>
      </c>
      <c r="Q420" s="22">
        <v>0</v>
      </c>
      <c r="R420" s="38">
        <v>0.39445000000000002</v>
      </c>
      <c r="T420" s="2"/>
      <c r="U420" s="2"/>
      <c r="V420" s="24"/>
      <c r="W420" s="24"/>
      <c r="X420" s="24"/>
      <c r="Y420" s="24"/>
      <c r="Z420" s="24"/>
      <c r="AA420" s="24"/>
      <c r="AB420" s="24"/>
      <c r="AC420" s="25"/>
      <c r="AD420" s="25"/>
      <c r="AE420" s="25"/>
      <c r="AF420" s="25"/>
      <c r="AG420" s="25"/>
      <c r="AH420" s="16"/>
      <c r="AI420" s="25"/>
      <c r="AJ420" s="25"/>
      <c r="AL420" s="3"/>
      <c r="AM420" s="22"/>
      <c r="AN420" s="9"/>
      <c r="AO420" s="9"/>
      <c r="AP420" s="9"/>
      <c r="AQ420" s="9"/>
      <c r="AR420" s="2"/>
      <c r="AS420" s="31"/>
    </row>
    <row r="421" spans="1:45">
      <c r="A421" s="13">
        <v>29860</v>
      </c>
      <c r="B421" s="3">
        <v>50.885800000000003</v>
      </c>
      <c r="C421" s="24">
        <v>100378</v>
      </c>
      <c r="D421" s="24">
        <v>91371</v>
      </c>
      <c r="E421" s="2">
        <v>7.9</v>
      </c>
      <c r="F421" s="33">
        <v>5.2115000000000002E-2</v>
      </c>
      <c r="G421" s="33">
        <v>4.9147999999999997E-2</v>
      </c>
      <c r="H421" s="25">
        <v>15.4</v>
      </c>
      <c r="I421" s="25">
        <v>17.11</v>
      </c>
      <c r="J421" s="25">
        <v>15.08</v>
      </c>
      <c r="K421" s="25">
        <v>16.34</v>
      </c>
      <c r="L421" s="25">
        <v>13.54</v>
      </c>
      <c r="M421" s="33">
        <v>107.5</v>
      </c>
      <c r="N421">
        <v>-2.3218000000000001</v>
      </c>
      <c r="O421" s="31">
        <v>277.2</v>
      </c>
      <c r="P421" s="38">
        <v>121.1246</v>
      </c>
      <c r="Q421" s="22">
        <v>-0.57439382443200004</v>
      </c>
      <c r="R421" s="38">
        <v>0.56992299999999996</v>
      </c>
      <c r="T421" s="2"/>
      <c r="U421" s="2"/>
      <c r="V421" s="24"/>
      <c r="W421" s="24"/>
      <c r="X421" s="24"/>
      <c r="Y421" s="24"/>
      <c r="Z421" s="24"/>
      <c r="AA421" s="24"/>
      <c r="AB421" s="24"/>
      <c r="AC421" s="25"/>
      <c r="AD421" s="25"/>
      <c r="AE421" s="25"/>
      <c r="AF421" s="25"/>
      <c r="AG421" s="25"/>
      <c r="AH421" s="16"/>
      <c r="AI421" s="25"/>
      <c r="AJ421" s="25"/>
      <c r="AL421" s="3"/>
      <c r="AM421" s="22"/>
      <c r="AN421" s="9"/>
      <c r="AO421" s="9"/>
      <c r="AP421" s="9"/>
      <c r="AQ421" s="9"/>
      <c r="AR421" s="2"/>
      <c r="AS421" s="31"/>
    </row>
    <row r="422" spans="1:45">
      <c r="A422" s="13">
        <v>29891</v>
      </c>
      <c r="B422" s="3">
        <v>50.324300000000001</v>
      </c>
      <c r="C422" s="24">
        <v>100207</v>
      </c>
      <c r="D422" s="24">
        <v>91162</v>
      </c>
      <c r="E422" s="2">
        <v>8.3000000000000007</v>
      </c>
      <c r="F422" s="33">
        <v>4.3826999999999998E-2</v>
      </c>
      <c r="G422" s="33">
        <v>3.6589999999999998E-2</v>
      </c>
      <c r="H422" s="25">
        <v>14.22</v>
      </c>
      <c r="I422" s="25">
        <v>16.39</v>
      </c>
      <c r="J422" s="25">
        <v>13.31</v>
      </c>
      <c r="K422" s="25">
        <v>13.32</v>
      </c>
      <c r="L422" s="25">
        <v>10.86</v>
      </c>
      <c r="M422" s="33">
        <v>107.2</v>
      </c>
      <c r="N422">
        <v>-8.2824000000000009</v>
      </c>
      <c r="O422" s="31">
        <v>270.5</v>
      </c>
      <c r="P422" s="38">
        <v>108.4645</v>
      </c>
      <c r="Q422" s="22">
        <v>-0.35593211668399999</v>
      </c>
      <c r="R422" s="38">
        <v>0.154978</v>
      </c>
      <c r="T422" s="2"/>
      <c r="U422" s="2"/>
      <c r="V422" s="24"/>
      <c r="W422" s="24"/>
      <c r="X422" s="24"/>
      <c r="Y422" s="24"/>
      <c r="Z422" s="24"/>
      <c r="AA422" s="24"/>
      <c r="AB422" s="24"/>
      <c r="AC422" s="25"/>
      <c r="AD422" s="25"/>
      <c r="AE422" s="25"/>
      <c r="AF422" s="25"/>
      <c r="AG422" s="25"/>
      <c r="AH422" s="16"/>
      <c r="AI422" s="25"/>
      <c r="AJ422" s="25"/>
      <c r="AL422" s="3"/>
      <c r="AM422" s="22"/>
      <c r="AN422" s="9"/>
      <c r="AO422" s="9"/>
      <c r="AP422" s="9"/>
      <c r="AQ422" s="9"/>
      <c r="AR422" s="2"/>
      <c r="AS422" s="31"/>
    </row>
    <row r="423" spans="1:45">
      <c r="A423" s="13">
        <v>29921</v>
      </c>
      <c r="B423" s="3">
        <v>49.7682</v>
      </c>
      <c r="C423" s="24">
        <v>99645</v>
      </c>
      <c r="D423" s="24">
        <v>90884</v>
      </c>
      <c r="E423" s="2">
        <v>8.5</v>
      </c>
      <c r="F423" s="33">
        <v>-2.7059E-2</v>
      </c>
      <c r="G423" s="33">
        <v>-3.0075000000000001E-2</v>
      </c>
      <c r="H423" s="25">
        <v>14.23</v>
      </c>
      <c r="I423" s="25">
        <v>16.55</v>
      </c>
      <c r="J423" s="25">
        <v>12.37</v>
      </c>
      <c r="K423" s="25">
        <v>13.24</v>
      </c>
      <c r="L423" s="25">
        <v>10.85</v>
      </c>
      <c r="M423" s="33">
        <v>107.3</v>
      </c>
      <c r="N423">
        <v>-1.256</v>
      </c>
      <c r="O423" s="31">
        <v>264.2</v>
      </c>
      <c r="P423" s="38">
        <v>124.9684</v>
      </c>
      <c r="Q423" s="22">
        <v>0.10007761773899999</v>
      </c>
      <c r="R423" s="38">
        <v>0.541107</v>
      </c>
      <c r="T423" s="2"/>
      <c r="U423" s="2"/>
      <c r="V423" s="24"/>
      <c r="W423" s="24"/>
      <c r="X423" s="24"/>
      <c r="Y423" s="24"/>
      <c r="Z423" s="24"/>
      <c r="AA423" s="24"/>
      <c r="AB423" s="24"/>
      <c r="AC423" s="25"/>
      <c r="AD423" s="25"/>
      <c r="AE423" s="25"/>
      <c r="AF423" s="25"/>
      <c r="AG423" s="25"/>
      <c r="AH423" s="16"/>
      <c r="AI423" s="25"/>
      <c r="AJ423" s="25"/>
      <c r="AL423" s="3"/>
      <c r="AM423" s="22"/>
      <c r="AN423" s="9"/>
      <c r="AO423" s="9"/>
      <c r="AP423" s="9"/>
      <c r="AQ423" s="9"/>
      <c r="AR423" s="2"/>
      <c r="AS423" s="31"/>
    </row>
    <row r="424" spans="1:45">
      <c r="A424" s="13">
        <v>29952</v>
      </c>
      <c r="B424" s="3">
        <v>48.788800000000002</v>
      </c>
      <c r="C424" s="24">
        <v>99692</v>
      </c>
      <c r="D424" s="24">
        <v>90557</v>
      </c>
      <c r="E424" s="2">
        <v>8.6</v>
      </c>
      <c r="F424" s="33">
        <v>-1.5367E-2</v>
      </c>
      <c r="G424" s="33">
        <v>-1.7544000000000001E-2</v>
      </c>
      <c r="H424" s="25">
        <v>15.18</v>
      </c>
      <c r="I424" s="25">
        <v>17.100000000000001</v>
      </c>
      <c r="J424" s="25">
        <v>13.22</v>
      </c>
      <c r="K424" s="25">
        <v>14.29</v>
      </c>
      <c r="L424" s="25">
        <v>12.28</v>
      </c>
      <c r="M424" s="33">
        <v>107.3</v>
      </c>
      <c r="N424">
        <v>10.657999999999999</v>
      </c>
      <c r="O424" s="31">
        <v>263.39999999999998</v>
      </c>
      <c r="P424" s="38">
        <v>166.04</v>
      </c>
      <c r="Q424" s="22">
        <v>0</v>
      </c>
      <c r="R424" s="38">
        <v>0.75570899999999996</v>
      </c>
      <c r="T424" s="2"/>
      <c r="U424" s="2"/>
      <c r="V424" s="24"/>
      <c r="W424" s="24"/>
      <c r="X424" s="24"/>
      <c r="Y424" s="24"/>
      <c r="Z424" s="24"/>
      <c r="AA424" s="24"/>
      <c r="AB424" s="24"/>
      <c r="AC424" s="25"/>
      <c r="AD424" s="25"/>
      <c r="AE424" s="25"/>
      <c r="AF424" s="25"/>
      <c r="AG424" s="25"/>
      <c r="AH424" s="16"/>
      <c r="AI424" s="25"/>
      <c r="AJ424" s="25"/>
      <c r="AL424" s="3"/>
      <c r="AM424" s="22"/>
      <c r="AN424" s="9"/>
      <c r="AO424" s="9"/>
      <c r="AP424" s="9"/>
      <c r="AQ424" s="9"/>
      <c r="AR424" s="2"/>
      <c r="AS424" s="31"/>
    </row>
    <row r="425" spans="1:45">
      <c r="A425" s="13">
        <v>29983</v>
      </c>
      <c r="B425" s="3">
        <v>49.743699999999997</v>
      </c>
      <c r="C425" s="24">
        <v>99762</v>
      </c>
      <c r="D425" s="24">
        <v>90551</v>
      </c>
      <c r="E425" s="2">
        <v>8.9</v>
      </c>
      <c r="F425" s="33">
        <v>-5.0441E-2</v>
      </c>
      <c r="G425" s="33">
        <v>-6.0547999999999998E-2</v>
      </c>
      <c r="H425" s="25">
        <v>15.27</v>
      </c>
      <c r="I425" s="25">
        <v>17.18</v>
      </c>
      <c r="J425" s="25">
        <v>14.78</v>
      </c>
      <c r="K425" s="25">
        <v>15.75</v>
      </c>
      <c r="L425" s="25">
        <v>13.48</v>
      </c>
      <c r="M425" s="33">
        <v>105</v>
      </c>
      <c r="N425">
        <v>14.804</v>
      </c>
      <c r="O425" s="31">
        <v>261</v>
      </c>
      <c r="P425" s="38">
        <v>149.7157</v>
      </c>
      <c r="Q425" s="22">
        <v>1.0211452272420001</v>
      </c>
      <c r="R425" s="38">
        <v>0.452268</v>
      </c>
      <c r="T425" s="2"/>
      <c r="U425" s="2"/>
      <c r="V425" s="24"/>
      <c r="W425" s="24"/>
      <c r="X425" s="24"/>
      <c r="Y425" s="24"/>
      <c r="Z425" s="24"/>
      <c r="AA425" s="24"/>
      <c r="AB425" s="24"/>
      <c r="AC425" s="25"/>
      <c r="AD425" s="25"/>
      <c r="AE425" s="25"/>
      <c r="AF425" s="25"/>
      <c r="AG425" s="25"/>
      <c r="AH425" s="16"/>
      <c r="AI425" s="25"/>
      <c r="AJ425" s="25"/>
      <c r="AL425" s="3"/>
      <c r="AM425" s="22"/>
      <c r="AN425" s="9"/>
      <c r="AO425" s="9"/>
      <c r="AP425" s="9"/>
      <c r="AQ425" s="9"/>
      <c r="AR425" s="2"/>
      <c r="AS425" s="31"/>
    </row>
    <row r="426" spans="1:45">
      <c r="A426" s="13">
        <v>30011</v>
      </c>
      <c r="B426" s="3">
        <v>49.375900000000001</v>
      </c>
      <c r="C426" s="24">
        <v>99672</v>
      </c>
      <c r="D426" s="24">
        <v>90422</v>
      </c>
      <c r="E426" s="2">
        <v>9</v>
      </c>
      <c r="F426" s="33">
        <v>-6.8050000000000003E-3</v>
      </c>
      <c r="G426" s="33">
        <v>-1.0167000000000001E-2</v>
      </c>
      <c r="H426" s="25">
        <v>14.58</v>
      </c>
      <c r="I426" s="25">
        <v>16.82</v>
      </c>
      <c r="J426" s="25">
        <v>14.68</v>
      </c>
      <c r="K426" s="25">
        <v>14.9</v>
      </c>
      <c r="L426" s="25">
        <v>12.68</v>
      </c>
      <c r="M426" s="33">
        <v>101.6</v>
      </c>
      <c r="N426">
        <v>-5.0542999999999998E-2</v>
      </c>
      <c r="O426" s="31">
        <v>254.5</v>
      </c>
      <c r="P426" s="38">
        <v>161.46780000000001</v>
      </c>
      <c r="Q426" s="22">
        <v>-0.43475769289299998</v>
      </c>
      <c r="R426" s="38">
        <v>0.90754800000000002</v>
      </c>
      <c r="T426" s="2"/>
      <c r="U426" s="2"/>
      <c r="V426" s="24"/>
      <c r="W426" s="24"/>
      <c r="X426" s="24"/>
      <c r="Y426" s="24"/>
      <c r="Z426" s="24"/>
      <c r="AA426" s="24"/>
      <c r="AB426" s="24"/>
      <c r="AC426" s="25"/>
      <c r="AD426" s="25"/>
      <c r="AE426" s="25"/>
      <c r="AF426" s="25"/>
      <c r="AG426" s="25"/>
      <c r="AH426" s="16"/>
      <c r="AI426" s="25"/>
      <c r="AJ426" s="25"/>
      <c r="AL426" s="3"/>
      <c r="AM426" s="22"/>
      <c r="AN426" s="9"/>
      <c r="AO426" s="9"/>
      <c r="AP426" s="9"/>
      <c r="AQ426" s="9"/>
      <c r="AR426" s="2"/>
      <c r="AS426" s="31"/>
    </row>
    <row r="427" spans="1:45">
      <c r="A427" s="13">
        <v>30042</v>
      </c>
      <c r="B427" s="3">
        <v>48.948</v>
      </c>
      <c r="C427" s="24">
        <v>99576</v>
      </c>
      <c r="D427" s="24">
        <v>90141</v>
      </c>
      <c r="E427" s="2">
        <v>9.3000000000000007</v>
      </c>
      <c r="F427" s="33">
        <v>4.1549999999999997E-2</v>
      </c>
      <c r="G427" s="33">
        <v>4.0014000000000001E-2</v>
      </c>
      <c r="H427" s="25">
        <v>14.46</v>
      </c>
      <c r="I427" s="25">
        <v>16.78</v>
      </c>
      <c r="J427" s="25">
        <v>14.94</v>
      </c>
      <c r="K427" s="25">
        <v>15.18</v>
      </c>
      <c r="L427" s="25">
        <v>12.7</v>
      </c>
      <c r="M427" s="33">
        <v>97.9</v>
      </c>
      <c r="N427">
        <v>3.8805000000000001</v>
      </c>
      <c r="O427" s="31">
        <v>247.4</v>
      </c>
      <c r="P427" s="38">
        <v>127.4136</v>
      </c>
      <c r="Q427" s="22">
        <v>0</v>
      </c>
      <c r="R427" s="38">
        <v>0.69547599999999998</v>
      </c>
      <c r="T427" s="2"/>
      <c r="U427" s="2"/>
      <c r="V427" s="24"/>
      <c r="W427" s="24"/>
      <c r="X427" s="24"/>
      <c r="Y427" s="24"/>
      <c r="Z427" s="24"/>
      <c r="AA427" s="24"/>
      <c r="AB427" s="24"/>
      <c r="AC427" s="25"/>
      <c r="AD427" s="25"/>
      <c r="AE427" s="25"/>
      <c r="AF427" s="25"/>
      <c r="AG427" s="25"/>
      <c r="AH427" s="16"/>
      <c r="AI427" s="25"/>
      <c r="AJ427" s="25"/>
      <c r="AL427" s="3"/>
      <c r="AM427" s="22"/>
      <c r="AN427" s="9"/>
      <c r="AO427" s="9"/>
      <c r="AP427" s="9"/>
      <c r="AQ427" s="9"/>
      <c r="AR427" s="2"/>
      <c r="AS427" s="31"/>
    </row>
    <row r="428" spans="1:45">
      <c r="A428" s="13">
        <v>30072</v>
      </c>
      <c r="B428" s="3">
        <v>48.646000000000001</v>
      </c>
      <c r="C428" s="24">
        <v>100116</v>
      </c>
      <c r="D428" s="24">
        <v>90096</v>
      </c>
      <c r="E428" s="2">
        <v>9.4</v>
      </c>
      <c r="F428" s="33">
        <v>-2.9505E-2</v>
      </c>
      <c r="G428" s="33">
        <v>-3.9162000000000002E-2</v>
      </c>
      <c r="H428" s="25">
        <v>14.26</v>
      </c>
      <c r="I428" s="25">
        <v>16.64</v>
      </c>
      <c r="J428" s="25">
        <v>14.45</v>
      </c>
      <c r="K428" s="25">
        <v>14.53</v>
      </c>
      <c r="L428" s="25">
        <v>12.09</v>
      </c>
      <c r="M428" s="33">
        <v>97.9</v>
      </c>
      <c r="N428">
        <v>-0.70987</v>
      </c>
      <c r="O428" s="31">
        <v>245.5</v>
      </c>
      <c r="P428" s="38">
        <v>135.17259999999999</v>
      </c>
      <c r="Q428" s="22">
        <v>-5.5610131931999998E-2</v>
      </c>
      <c r="R428" s="38">
        <v>0.71065900000000004</v>
      </c>
      <c r="T428" s="2"/>
      <c r="U428" s="2"/>
      <c r="V428" s="24"/>
      <c r="W428" s="24"/>
      <c r="X428" s="24"/>
      <c r="Y428" s="24"/>
      <c r="Z428" s="24"/>
      <c r="AA428" s="24"/>
      <c r="AB428" s="24"/>
      <c r="AC428" s="25"/>
      <c r="AD428" s="25"/>
      <c r="AE428" s="25"/>
      <c r="AF428" s="25"/>
      <c r="AG428" s="25"/>
      <c r="AH428" s="16"/>
      <c r="AI428" s="25"/>
      <c r="AJ428" s="25"/>
      <c r="AL428" s="3"/>
      <c r="AM428" s="22"/>
      <c r="AN428" s="9"/>
      <c r="AO428" s="9"/>
      <c r="AP428" s="9"/>
      <c r="AQ428" s="9"/>
      <c r="AR428" s="2"/>
      <c r="AS428" s="31"/>
    </row>
    <row r="429" spans="1:45">
      <c r="A429" s="13">
        <v>30103</v>
      </c>
      <c r="B429" s="3">
        <v>48.482799999999997</v>
      </c>
      <c r="C429" s="24">
        <v>99543</v>
      </c>
      <c r="D429" s="24">
        <v>89853</v>
      </c>
      <c r="E429" s="2">
        <v>9.6</v>
      </c>
      <c r="F429" s="33">
        <v>-1.5779000000000001E-2</v>
      </c>
      <c r="G429" s="33">
        <v>-2.0289999999999999E-2</v>
      </c>
      <c r="H429" s="25">
        <v>14.81</v>
      </c>
      <c r="I429" s="25">
        <v>16.920000000000002</v>
      </c>
      <c r="J429" s="25">
        <v>14.15</v>
      </c>
      <c r="K429" s="25">
        <v>15.45</v>
      </c>
      <c r="L429" s="25">
        <v>12.47</v>
      </c>
      <c r="M429" s="33">
        <v>97.9</v>
      </c>
      <c r="N429">
        <v>1.2423999999999999</v>
      </c>
      <c r="O429" s="31">
        <v>232.2</v>
      </c>
      <c r="P429" s="38">
        <v>169.26009999999999</v>
      </c>
      <c r="Q429" s="22">
        <v>0</v>
      </c>
      <c r="R429" s="38">
        <v>0.64093199999999995</v>
      </c>
      <c r="T429" s="2"/>
      <c r="U429" s="2"/>
      <c r="V429" s="24"/>
      <c r="W429" s="24"/>
      <c r="X429" s="24"/>
      <c r="Y429" s="24"/>
      <c r="Z429" s="24"/>
      <c r="AA429" s="24"/>
      <c r="AB429" s="24"/>
      <c r="AC429" s="25"/>
      <c r="AD429" s="25"/>
      <c r="AE429" s="25"/>
      <c r="AF429" s="25"/>
      <c r="AG429" s="25"/>
      <c r="AH429" s="16"/>
      <c r="AI429" s="25"/>
      <c r="AJ429" s="25"/>
      <c r="AL429" s="3"/>
      <c r="AM429" s="22"/>
      <c r="AN429" s="9"/>
      <c r="AO429" s="9"/>
      <c r="AP429" s="9"/>
      <c r="AQ429" s="9"/>
      <c r="AR429" s="2"/>
      <c r="AS429" s="31"/>
    </row>
    <row r="430" spans="1:45">
      <c r="A430" s="13">
        <v>30133</v>
      </c>
      <c r="B430" s="3">
        <v>48.329599999999999</v>
      </c>
      <c r="C430" s="24">
        <v>99493</v>
      </c>
      <c r="D430" s="24">
        <v>89510</v>
      </c>
      <c r="E430" s="2">
        <v>9.8000000000000007</v>
      </c>
      <c r="F430" s="33">
        <v>-2.0199000000000002E-2</v>
      </c>
      <c r="G430" s="33">
        <v>-2.2991000000000001E-2</v>
      </c>
      <c r="H430" s="25">
        <v>14.61</v>
      </c>
      <c r="I430" s="25">
        <v>16.8</v>
      </c>
      <c r="J430" s="25">
        <v>12.59</v>
      </c>
      <c r="K430" s="25">
        <v>14.37</v>
      </c>
      <c r="L430" s="25">
        <v>11.35</v>
      </c>
      <c r="M430" s="33">
        <v>98</v>
      </c>
      <c r="N430">
        <v>-6.9039999999999999</v>
      </c>
      <c r="O430" s="31">
        <v>237</v>
      </c>
      <c r="P430" s="38">
        <v>157.52629999999999</v>
      </c>
      <c r="Q430" s="22">
        <v>-0.19626300629900001</v>
      </c>
      <c r="R430" s="38">
        <v>0.60862499999999997</v>
      </c>
      <c r="T430" s="2"/>
      <c r="U430" s="2"/>
      <c r="V430" s="24"/>
      <c r="W430" s="24"/>
      <c r="X430" s="24"/>
      <c r="Y430" s="24"/>
      <c r="Z430" s="24"/>
      <c r="AA430" s="24"/>
      <c r="AB430" s="24"/>
      <c r="AC430" s="25"/>
      <c r="AD430" s="25"/>
      <c r="AE430" s="25"/>
      <c r="AF430" s="25"/>
      <c r="AG430" s="25"/>
      <c r="AH430" s="16"/>
      <c r="AI430" s="25"/>
      <c r="AJ430" s="25"/>
      <c r="AL430" s="3"/>
      <c r="AM430" s="22"/>
      <c r="AN430" s="9"/>
      <c r="AO430" s="9"/>
      <c r="AP430" s="9"/>
      <c r="AQ430" s="9"/>
      <c r="AR430" s="2"/>
      <c r="AS430" s="31"/>
    </row>
    <row r="431" spans="1:45">
      <c r="A431" s="13">
        <v>30164</v>
      </c>
      <c r="B431" s="3">
        <v>47.927900000000001</v>
      </c>
      <c r="C431" s="24">
        <v>99633</v>
      </c>
      <c r="D431" s="24">
        <v>89352</v>
      </c>
      <c r="E431" s="2">
        <v>9.8000000000000007</v>
      </c>
      <c r="F431" s="33">
        <v>0.12740199999999999</v>
      </c>
      <c r="G431" s="33">
        <v>0.115977</v>
      </c>
      <c r="H431" s="25">
        <v>13.71</v>
      </c>
      <c r="I431" s="25">
        <v>16.32</v>
      </c>
      <c r="J431" s="25">
        <v>10.119999999999999</v>
      </c>
      <c r="K431" s="25">
        <v>11.57</v>
      </c>
      <c r="L431" s="25">
        <v>8.68</v>
      </c>
      <c r="M431" s="33">
        <v>98</v>
      </c>
      <c r="N431">
        <v>-12.595000000000001</v>
      </c>
      <c r="O431" s="31">
        <v>236.2</v>
      </c>
      <c r="P431" s="38">
        <v>149.53639999999999</v>
      </c>
      <c r="Q431" s="22">
        <v>-0.21124540411000001</v>
      </c>
      <c r="R431" s="38">
        <v>-0.128633</v>
      </c>
      <c r="T431" s="2"/>
      <c r="U431" s="2"/>
      <c r="V431" s="24"/>
      <c r="W431" s="24"/>
      <c r="X431" s="24"/>
      <c r="Y431" s="24"/>
      <c r="Z431" s="24"/>
      <c r="AA431" s="24"/>
      <c r="AB431" s="24"/>
      <c r="AC431" s="25"/>
      <c r="AD431" s="25"/>
      <c r="AE431" s="25"/>
      <c r="AF431" s="25"/>
      <c r="AG431" s="25"/>
      <c r="AH431" s="16"/>
      <c r="AI431" s="25"/>
      <c r="AJ431" s="25"/>
      <c r="AL431" s="3"/>
      <c r="AM431" s="22"/>
      <c r="AN431" s="9"/>
      <c r="AO431" s="9"/>
      <c r="AP431" s="9"/>
      <c r="AQ431" s="9"/>
      <c r="AR431" s="2"/>
      <c r="AS431" s="31"/>
    </row>
    <row r="432" spans="1:45">
      <c r="A432" s="13">
        <v>30195</v>
      </c>
      <c r="B432" s="3">
        <v>47.7652</v>
      </c>
      <c r="C432" s="24">
        <v>99504</v>
      </c>
      <c r="D432" s="24">
        <v>89171</v>
      </c>
      <c r="E432" s="2">
        <v>10.1</v>
      </c>
      <c r="F432" s="33">
        <v>1.0496E-2</v>
      </c>
      <c r="G432" s="33">
        <v>7.6140000000000001E-3</v>
      </c>
      <c r="H432" s="25">
        <v>12.94</v>
      </c>
      <c r="I432" s="25">
        <v>15.63</v>
      </c>
      <c r="J432" s="25">
        <v>10.31</v>
      </c>
      <c r="K432" s="25">
        <v>11.74</v>
      </c>
      <c r="L432" s="25">
        <v>7.92</v>
      </c>
      <c r="M432" s="33">
        <v>97.9</v>
      </c>
      <c r="N432">
        <v>6.9499000000000004</v>
      </c>
      <c r="O432" s="31">
        <v>239</v>
      </c>
      <c r="P432" s="38">
        <v>143.87799999999999</v>
      </c>
      <c r="Q432" s="22">
        <v>0</v>
      </c>
      <c r="R432" s="38">
        <v>0.47037600000000002</v>
      </c>
      <c r="T432" s="2"/>
      <c r="U432" s="2"/>
      <c r="V432" s="24"/>
      <c r="W432" s="24"/>
      <c r="X432" s="24"/>
      <c r="Y432" s="24"/>
      <c r="Z432" s="24"/>
      <c r="AA432" s="24"/>
      <c r="AB432" s="24"/>
      <c r="AC432" s="25"/>
      <c r="AD432" s="25"/>
      <c r="AE432" s="25"/>
      <c r="AF432" s="25"/>
      <c r="AG432" s="25"/>
      <c r="AH432" s="16"/>
      <c r="AI432" s="25"/>
      <c r="AJ432" s="25"/>
      <c r="AL432" s="3"/>
      <c r="AM432" s="22"/>
      <c r="AN432" s="9"/>
      <c r="AO432" s="9"/>
      <c r="AP432" s="9"/>
      <c r="AQ432" s="9"/>
      <c r="AR432" s="2"/>
      <c r="AS432" s="31"/>
    </row>
    <row r="433" spans="1:45">
      <c r="A433" s="13">
        <v>30225</v>
      </c>
      <c r="B433" s="3">
        <v>47.354399999999998</v>
      </c>
      <c r="C433" s="24">
        <v>99215</v>
      </c>
      <c r="D433" s="24">
        <v>88894</v>
      </c>
      <c r="E433" s="2">
        <v>10.4</v>
      </c>
      <c r="F433" s="33">
        <v>0.11386300000000001</v>
      </c>
      <c r="G433" s="33">
        <v>0.110364</v>
      </c>
      <c r="H433" s="25">
        <v>12.12</v>
      </c>
      <c r="I433" s="25">
        <v>14.73</v>
      </c>
      <c r="J433" s="25">
        <v>9.7100000000000009</v>
      </c>
      <c r="K433" s="25">
        <v>10.43</v>
      </c>
      <c r="L433" s="25">
        <v>7.71</v>
      </c>
      <c r="M433" s="33">
        <v>100.3</v>
      </c>
      <c r="N433">
        <v>-0.33051000000000003</v>
      </c>
      <c r="O433" s="31">
        <v>235.5</v>
      </c>
      <c r="P433" s="38">
        <v>133.767</v>
      </c>
      <c r="Q433" s="22">
        <v>-0.24244832331300001</v>
      </c>
      <c r="R433" s="38">
        <v>0.11783299999999999</v>
      </c>
      <c r="T433" s="2"/>
      <c r="U433" s="2"/>
      <c r="V433" s="24"/>
      <c r="W433" s="24"/>
      <c r="X433" s="24"/>
      <c r="Y433" s="24"/>
      <c r="Z433" s="24"/>
      <c r="AA433" s="24"/>
      <c r="AB433" s="24"/>
      <c r="AC433" s="25"/>
      <c r="AD433" s="25"/>
      <c r="AE433" s="25"/>
      <c r="AF433" s="25"/>
      <c r="AG433" s="25"/>
      <c r="AH433" s="16"/>
      <c r="AI433" s="25"/>
      <c r="AJ433" s="25"/>
      <c r="AL433" s="3"/>
      <c r="AM433" s="22"/>
      <c r="AN433" s="9"/>
      <c r="AO433" s="9"/>
      <c r="AP433" s="9"/>
      <c r="AQ433" s="9"/>
      <c r="AR433" s="2"/>
      <c r="AS433" s="31"/>
    </row>
    <row r="434" spans="1:45">
      <c r="A434" s="13">
        <v>30256</v>
      </c>
      <c r="B434" s="3">
        <v>47.169400000000003</v>
      </c>
      <c r="C434" s="24">
        <v>99112</v>
      </c>
      <c r="D434" s="24">
        <v>88770</v>
      </c>
      <c r="E434" s="2">
        <v>10.8</v>
      </c>
      <c r="F434" s="33">
        <v>4.5754000000000003E-2</v>
      </c>
      <c r="G434" s="33">
        <v>3.6123000000000002E-2</v>
      </c>
      <c r="H434" s="25">
        <v>11.68</v>
      </c>
      <c r="I434" s="25">
        <v>14.3</v>
      </c>
      <c r="J434" s="25">
        <v>9.1999999999999993</v>
      </c>
      <c r="K434" s="25">
        <v>9.77</v>
      </c>
      <c r="L434" s="25">
        <v>8.07</v>
      </c>
      <c r="M434" s="33">
        <v>100</v>
      </c>
      <c r="N434">
        <v>-0.39853</v>
      </c>
      <c r="O434" s="31">
        <v>230.4</v>
      </c>
      <c r="P434" s="38">
        <v>123.1266</v>
      </c>
      <c r="Q434" s="22">
        <v>0.124723723844</v>
      </c>
      <c r="R434" s="38">
        <v>0.49712299999999998</v>
      </c>
      <c r="T434" s="2"/>
      <c r="U434" s="2"/>
      <c r="V434" s="24"/>
      <c r="W434" s="24"/>
      <c r="X434" s="24"/>
      <c r="Y434" s="24"/>
      <c r="Z434" s="24"/>
      <c r="AA434" s="24"/>
      <c r="AB434" s="24"/>
      <c r="AC434" s="25"/>
      <c r="AD434" s="25"/>
      <c r="AE434" s="25"/>
      <c r="AF434" s="25"/>
      <c r="AG434" s="25"/>
      <c r="AH434" s="16"/>
      <c r="AI434" s="25"/>
      <c r="AJ434" s="25"/>
      <c r="AL434" s="3"/>
      <c r="AM434" s="22"/>
      <c r="AN434" s="9"/>
      <c r="AO434" s="9"/>
      <c r="AP434" s="9"/>
      <c r="AQ434" s="9"/>
      <c r="AR434" s="2"/>
      <c r="AS434" s="31"/>
    </row>
    <row r="435" spans="1:45">
      <c r="A435" s="13">
        <v>30286</v>
      </c>
      <c r="B435" s="3">
        <v>46.826599999999999</v>
      </c>
      <c r="C435" s="24">
        <v>99032</v>
      </c>
      <c r="D435" s="24">
        <v>88756</v>
      </c>
      <c r="E435" s="2">
        <v>10.8</v>
      </c>
      <c r="F435" s="33">
        <v>1.6834999999999999E-2</v>
      </c>
      <c r="G435" s="33">
        <v>1.5158E-2</v>
      </c>
      <c r="H435" s="25">
        <v>11.83</v>
      </c>
      <c r="I435" s="25">
        <v>14.14</v>
      </c>
      <c r="J435" s="25">
        <v>8.9499999999999993</v>
      </c>
      <c r="K435" s="25">
        <v>9.4700000000000006</v>
      </c>
      <c r="L435" s="25">
        <v>7.94</v>
      </c>
      <c r="M435" s="33">
        <v>98.2</v>
      </c>
      <c r="N435">
        <v>1.0843</v>
      </c>
      <c r="O435" s="31">
        <v>227.4</v>
      </c>
      <c r="P435" s="38">
        <v>161.51730000000001</v>
      </c>
      <c r="Q435" s="22">
        <v>0.65072952650299998</v>
      </c>
      <c r="R435" s="38">
        <v>0.69982800000000001</v>
      </c>
      <c r="T435" s="2"/>
      <c r="U435" s="2"/>
      <c r="V435" s="24"/>
      <c r="W435" s="24"/>
      <c r="X435" s="24"/>
      <c r="Y435" s="24"/>
      <c r="Z435" s="24"/>
      <c r="AA435" s="24"/>
      <c r="AB435" s="24"/>
      <c r="AC435" s="25"/>
      <c r="AD435" s="25"/>
      <c r="AE435" s="25"/>
      <c r="AF435" s="25"/>
      <c r="AG435" s="25"/>
      <c r="AH435" s="16"/>
      <c r="AI435" s="25"/>
      <c r="AJ435" s="25"/>
      <c r="AL435" s="3"/>
      <c r="AM435" s="22"/>
      <c r="AN435" s="9"/>
      <c r="AO435" s="9"/>
      <c r="AP435" s="9"/>
      <c r="AQ435" s="9"/>
      <c r="AR435" s="2"/>
      <c r="AS435" s="31"/>
    </row>
    <row r="436" spans="1:45">
      <c r="A436" s="13">
        <v>30317</v>
      </c>
      <c r="B436" s="3">
        <v>47.723300000000002</v>
      </c>
      <c r="C436" s="24">
        <v>99161</v>
      </c>
      <c r="D436" s="24">
        <v>88981</v>
      </c>
      <c r="E436" s="2">
        <v>10.4</v>
      </c>
      <c r="F436" s="33">
        <v>3.5292999999999998E-2</v>
      </c>
      <c r="G436" s="33">
        <v>3.3133999999999997E-2</v>
      </c>
      <c r="H436" s="25">
        <v>11.79</v>
      </c>
      <c r="I436" s="25">
        <v>13.94</v>
      </c>
      <c r="J436" s="25">
        <v>8.68</v>
      </c>
      <c r="K436" s="25">
        <v>8.9700000000000006</v>
      </c>
      <c r="L436" s="25">
        <v>7.86</v>
      </c>
      <c r="M436" s="33">
        <v>98.1</v>
      </c>
      <c r="N436">
        <v>0.65471000000000001</v>
      </c>
      <c r="O436" s="31">
        <v>232.1</v>
      </c>
      <c r="P436" s="38">
        <v>173.76320000000001</v>
      </c>
      <c r="Q436" s="22">
        <v>0</v>
      </c>
      <c r="R436" s="38">
        <v>0.33096199999999998</v>
      </c>
      <c r="T436" s="2"/>
      <c r="U436" s="2"/>
      <c r="V436" s="24"/>
      <c r="W436" s="24"/>
      <c r="X436" s="24"/>
      <c r="Y436" s="24"/>
      <c r="Z436" s="24"/>
      <c r="AA436" s="24"/>
      <c r="AB436" s="24"/>
      <c r="AC436" s="25"/>
      <c r="AD436" s="25"/>
      <c r="AE436" s="25"/>
      <c r="AF436" s="25"/>
      <c r="AG436" s="25"/>
      <c r="AH436" s="16"/>
      <c r="AI436" s="25"/>
      <c r="AJ436" s="25"/>
      <c r="AL436" s="3"/>
      <c r="AM436" s="22"/>
      <c r="AN436" s="9"/>
      <c r="AO436" s="9"/>
      <c r="AP436" s="9"/>
      <c r="AQ436" s="9"/>
      <c r="AR436" s="2"/>
      <c r="AS436" s="31"/>
    </row>
    <row r="437" spans="1:45">
      <c r="A437" s="13">
        <v>30348</v>
      </c>
      <c r="B437" s="3">
        <v>47.435899999999997</v>
      </c>
      <c r="C437" s="24">
        <v>99089</v>
      </c>
      <c r="D437" s="24">
        <v>88903</v>
      </c>
      <c r="E437" s="2">
        <v>10.4</v>
      </c>
      <c r="F437" s="33">
        <v>2.5732999999999999E-2</v>
      </c>
      <c r="G437" s="33">
        <v>1.8995000000000001E-2</v>
      </c>
      <c r="H437" s="25">
        <v>12.01</v>
      </c>
      <c r="I437" s="25">
        <v>13.95</v>
      </c>
      <c r="J437" s="25">
        <v>8.51</v>
      </c>
      <c r="K437" s="25">
        <v>9.14</v>
      </c>
      <c r="L437" s="25">
        <v>8.11</v>
      </c>
      <c r="M437" s="33">
        <v>94.5</v>
      </c>
      <c r="N437">
        <v>-0.59033999999999998</v>
      </c>
      <c r="O437" s="31">
        <v>241.3</v>
      </c>
      <c r="P437" s="38">
        <v>149.2244</v>
      </c>
      <c r="Q437" s="22">
        <v>0.184811931598</v>
      </c>
      <c r="R437" s="38">
        <v>0.27087299999999997</v>
      </c>
      <c r="T437" s="2"/>
      <c r="U437" s="2"/>
      <c r="V437" s="24"/>
      <c r="W437" s="24"/>
      <c r="X437" s="24"/>
      <c r="Y437" s="24"/>
      <c r="Z437" s="24"/>
      <c r="AA437" s="24"/>
      <c r="AB437" s="24"/>
      <c r="AC437" s="25"/>
      <c r="AD437" s="25"/>
      <c r="AE437" s="25"/>
      <c r="AF437" s="25"/>
      <c r="AG437" s="25"/>
      <c r="AH437" s="16"/>
      <c r="AI437" s="25"/>
      <c r="AJ437" s="25"/>
      <c r="AL437" s="3"/>
      <c r="AM437" s="22"/>
      <c r="AN437" s="9"/>
      <c r="AO437" s="9"/>
      <c r="AP437" s="9"/>
      <c r="AQ437" s="9"/>
      <c r="AR437" s="2"/>
      <c r="AS437" s="31"/>
    </row>
    <row r="438" spans="1:45">
      <c r="A438" s="13">
        <v>30376</v>
      </c>
      <c r="B438" s="3">
        <v>47.832299999999996</v>
      </c>
      <c r="C438" s="24">
        <v>99179</v>
      </c>
      <c r="D438" s="24">
        <v>89076</v>
      </c>
      <c r="E438" s="2">
        <v>10.3</v>
      </c>
      <c r="F438" s="33">
        <v>3.5470000000000002E-2</v>
      </c>
      <c r="G438" s="33">
        <v>3.3094999999999999E-2</v>
      </c>
      <c r="H438" s="25">
        <v>11.73</v>
      </c>
      <c r="I438" s="25">
        <v>13.61</v>
      </c>
      <c r="J438" s="25">
        <v>8.77</v>
      </c>
      <c r="K438" s="25">
        <v>9.25</v>
      </c>
      <c r="L438" s="25">
        <v>8.35</v>
      </c>
      <c r="M438" s="33">
        <v>92.5</v>
      </c>
      <c r="N438">
        <v>2.3761000000000001</v>
      </c>
      <c r="O438" s="31">
        <v>248.8</v>
      </c>
      <c r="P438" s="38">
        <v>144.0557</v>
      </c>
      <c r="Q438" s="22">
        <v>0.144825631329</v>
      </c>
      <c r="R438" s="38">
        <v>0.21898000000000001</v>
      </c>
      <c r="T438" s="2"/>
      <c r="U438" s="2"/>
      <c r="V438" s="24"/>
      <c r="W438" s="24"/>
      <c r="X438" s="24"/>
      <c r="Y438" s="24"/>
      <c r="Z438" s="24"/>
      <c r="AA438" s="24"/>
      <c r="AB438" s="24"/>
      <c r="AC438" s="25"/>
      <c r="AD438" s="25"/>
      <c r="AE438" s="25"/>
      <c r="AF438" s="25"/>
      <c r="AG438" s="25"/>
      <c r="AH438" s="16"/>
      <c r="AI438" s="25"/>
      <c r="AJ438" s="25"/>
      <c r="AL438" s="3"/>
      <c r="AM438" s="22"/>
      <c r="AN438" s="9"/>
      <c r="AO438" s="9"/>
      <c r="AP438" s="9"/>
      <c r="AQ438" s="9"/>
      <c r="AR438" s="2"/>
      <c r="AS438" s="31"/>
    </row>
    <row r="439" spans="1:45">
      <c r="A439" s="13">
        <v>30407</v>
      </c>
      <c r="B439" s="3">
        <v>48.413699999999999</v>
      </c>
      <c r="C439" s="24">
        <v>99560</v>
      </c>
      <c r="D439" s="24">
        <v>89352</v>
      </c>
      <c r="E439" s="2">
        <v>10.199999999999999</v>
      </c>
      <c r="F439" s="33">
        <v>7.5718999999999995E-2</v>
      </c>
      <c r="G439" s="33">
        <v>7.4922000000000002E-2</v>
      </c>
      <c r="H439" s="25">
        <v>11.51</v>
      </c>
      <c r="I439" s="25">
        <v>13.29</v>
      </c>
      <c r="J439" s="25">
        <v>8.8000000000000007</v>
      </c>
      <c r="K439" s="25">
        <v>9.23</v>
      </c>
      <c r="L439" s="25">
        <v>8.2100000000000009</v>
      </c>
      <c r="M439" s="33">
        <v>92.5</v>
      </c>
      <c r="N439">
        <v>-0.20285</v>
      </c>
      <c r="O439" s="31">
        <v>253.2</v>
      </c>
      <c r="P439" s="38">
        <v>153.17599999999999</v>
      </c>
      <c r="Q439" s="22">
        <v>0</v>
      </c>
      <c r="R439" s="38">
        <v>0.12143</v>
      </c>
      <c r="T439" s="2"/>
      <c r="U439" s="2"/>
      <c r="V439" s="24"/>
      <c r="W439" s="24"/>
      <c r="X439" s="24"/>
      <c r="Y439" s="24"/>
      <c r="Z439" s="24"/>
      <c r="AA439" s="24"/>
      <c r="AB439" s="24"/>
      <c r="AC439" s="25"/>
      <c r="AD439" s="25"/>
      <c r="AE439" s="25"/>
      <c r="AF439" s="25"/>
      <c r="AG439" s="25"/>
      <c r="AH439" s="16"/>
      <c r="AI439" s="25"/>
      <c r="AJ439" s="25"/>
      <c r="AL439" s="3"/>
      <c r="AM439" s="22"/>
      <c r="AN439" s="9"/>
      <c r="AO439" s="9"/>
      <c r="AP439" s="9"/>
      <c r="AQ439" s="9"/>
      <c r="AR439" s="2"/>
      <c r="AS439" s="31"/>
    </row>
    <row r="440" spans="1:45">
      <c r="A440" s="13">
        <v>30437</v>
      </c>
      <c r="B440" s="3">
        <v>48.745699999999999</v>
      </c>
      <c r="C440" s="24">
        <v>99642</v>
      </c>
      <c r="D440" s="24">
        <v>89629</v>
      </c>
      <c r="E440" s="2">
        <v>10.1</v>
      </c>
      <c r="F440" s="33">
        <v>-5.6870000000000002E-3</v>
      </c>
      <c r="G440" s="33">
        <v>-1.2345999999999999E-2</v>
      </c>
      <c r="H440" s="25">
        <v>11.46</v>
      </c>
      <c r="I440" s="25">
        <v>13.09</v>
      </c>
      <c r="J440" s="25">
        <v>8.6300000000000008</v>
      </c>
      <c r="K440" s="25">
        <v>8.98</v>
      </c>
      <c r="L440" s="25">
        <v>8.19</v>
      </c>
      <c r="M440" s="33">
        <v>92.4</v>
      </c>
      <c r="N440">
        <v>-1.7293000000000001</v>
      </c>
      <c r="O440" s="31">
        <v>251.5</v>
      </c>
      <c r="P440" s="38">
        <v>124.18</v>
      </c>
      <c r="Q440" s="22">
        <v>-1.8749407892000001E-2</v>
      </c>
      <c r="R440" s="38">
        <v>-7.8874E-2</v>
      </c>
      <c r="T440" s="2"/>
      <c r="U440" s="2"/>
      <c r="V440" s="24"/>
      <c r="W440" s="24"/>
      <c r="X440" s="24"/>
      <c r="Y440" s="24"/>
      <c r="Z440" s="24"/>
      <c r="AA440" s="24"/>
      <c r="AB440" s="24"/>
      <c r="AC440" s="25"/>
      <c r="AD440" s="25"/>
      <c r="AE440" s="25"/>
      <c r="AF440" s="25"/>
      <c r="AG440" s="25"/>
      <c r="AH440" s="16"/>
      <c r="AI440" s="25"/>
      <c r="AJ440" s="25"/>
      <c r="AL440" s="3"/>
      <c r="AM440" s="22"/>
      <c r="AN440" s="9"/>
      <c r="AO440" s="9"/>
      <c r="AP440" s="9"/>
      <c r="AQ440" s="9"/>
      <c r="AR440" s="2"/>
      <c r="AS440" s="31"/>
    </row>
    <row r="441" spans="1:45">
      <c r="A441" s="13">
        <v>30468</v>
      </c>
      <c r="B441" s="3">
        <v>49.010100000000001</v>
      </c>
      <c r="C441" s="24">
        <v>100633</v>
      </c>
      <c r="D441" s="24">
        <v>90007</v>
      </c>
      <c r="E441" s="2">
        <v>10.1</v>
      </c>
      <c r="F441" s="33">
        <v>3.6970000000000003E-2</v>
      </c>
      <c r="G441" s="33">
        <v>3.5223999999999998E-2</v>
      </c>
      <c r="H441" s="25">
        <v>11.74</v>
      </c>
      <c r="I441" s="25">
        <v>13.37</v>
      </c>
      <c r="J441" s="25">
        <v>8.98</v>
      </c>
      <c r="K441" s="25">
        <v>9.66</v>
      </c>
      <c r="L441" s="25">
        <v>8.7899999999999991</v>
      </c>
      <c r="M441" s="33">
        <v>92.4</v>
      </c>
      <c r="N441">
        <v>2.0724</v>
      </c>
      <c r="O441" s="31">
        <v>250.5</v>
      </c>
      <c r="P441" s="38">
        <v>146.04239999999999</v>
      </c>
      <c r="Q441" s="22">
        <v>0</v>
      </c>
      <c r="R441" s="38">
        <v>8.9255000000000001E-2</v>
      </c>
      <c r="T441" s="2"/>
      <c r="U441" s="2"/>
      <c r="V441" s="24"/>
      <c r="W441" s="24"/>
      <c r="X441" s="24"/>
      <c r="Y441" s="24"/>
      <c r="Z441" s="24"/>
      <c r="AA441" s="24"/>
      <c r="AB441" s="24"/>
      <c r="AC441" s="25"/>
      <c r="AD441" s="25"/>
      <c r="AE441" s="25"/>
      <c r="AF441" s="25"/>
      <c r="AG441" s="25"/>
      <c r="AH441" s="16"/>
      <c r="AI441" s="25"/>
      <c r="AJ441" s="25"/>
      <c r="AL441" s="3"/>
      <c r="AM441" s="22"/>
      <c r="AN441" s="9"/>
      <c r="AO441" s="9"/>
      <c r="AP441" s="9"/>
      <c r="AQ441" s="9"/>
      <c r="AR441" s="2"/>
      <c r="AS441" s="31"/>
    </row>
    <row r="442" spans="1:45">
      <c r="A442" s="13">
        <v>30498</v>
      </c>
      <c r="B442" s="3">
        <v>49.754800000000003</v>
      </c>
      <c r="C442" s="24">
        <v>101208</v>
      </c>
      <c r="D442" s="24">
        <v>90425</v>
      </c>
      <c r="E442" s="2">
        <v>9.4</v>
      </c>
      <c r="F442" s="33">
        <v>-3.1237999999999998E-2</v>
      </c>
      <c r="G442" s="33">
        <v>-3.3014000000000002E-2</v>
      </c>
      <c r="H442" s="25">
        <v>12.15</v>
      </c>
      <c r="I442" s="25">
        <v>13.39</v>
      </c>
      <c r="J442" s="25">
        <v>9.3699999999999992</v>
      </c>
      <c r="K442" s="25">
        <v>10</v>
      </c>
      <c r="L442" s="25">
        <v>9.08</v>
      </c>
      <c r="M442" s="33">
        <v>92.1</v>
      </c>
      <c r="N442">
        <v>2.0339</v>
      </c>
      <c r="O442" s="31">
        <v>256</v>
      </c>
      <c r="P442" s="38">
        <v>130.9701</v>
      </c>
      <c r="Q442" s="22">
        <v>-7.8495926900000006E-3</v>
      </c>
      <c r="R442" s="38">
        <v>-7.8912999999999997E-2</v>
      </c>
      <c r="T442" s="2"/>
      <c r="U442" s="2"/>
      <c r="V442" s="24"/>
      <c r="W442" s="24"/>
      <c r="X442" s="24"/>
      <c r="Y442" s="24"/>
      <c r="Z442" s="24"/>
      <c r="AA442" s="24"/>
      <c r="AB442" s="24"/>
      <c r="AC442" s="25"/>
      <c r="AD442" s="25"/>
      <c r="AE442" s="25"/>
      <c r="AF442" s="25"/>
      <c r="AG442" s="25"/>
      <c r="AH442" s="16"/>
      <c r="AI442" s="25"/>
      <c r="AJ442" s="25"/>
      <c r="AL442" s="3"/>
      <c r="AM442" s="22"/>
      <c r="AN442" s="9"/>
      <c r="AO442" s="9"/>
      <c r="AP442" s="9"/>
      <c r="AQ442" s="9"/>
      <c r="AR442" s="2"/>
      <c r="AS442" s="31"/>
    </row>
    <row r="443" spans="1:45">
      <c r="A443" s="13">
        <v>30529</v>
      </c>
      <c r="B443" s="3">
        <v>50.296599999999998</v>
      </c>
      <c r="C443" s="24">
        <v>101608</v>
      </c>
      <c r="D443" s="24">
        <v>90117</v>
      </c>
      <c r="E443" s="2">
        <v>9.5</v>
      </c>
      <c r="F443" s="33">
        <v>1.5864E-2</v>
      </c>
      <c r="G443" s="33">
        <v>1.1318999999999999E-2</v>
      </c>
      <c r="H443" s="25">
        <v>12.51</v>
      </c>
      <c r="I443" s="25">
        <v>13.64</v>
      </c>
      <c r="J443" s="25">
        <v>9.56</v>
      </c>
      <c r="K443" s="25">
        <v>10.27</v>
      </c>
      <c r="L443" s="25">
        <v>9.34</v>
      </c>
      <c r="M443" s="33">
        <v>92.1</v>
      </c>
      <c r="N443">
        <v>-0.17377000000000001</v>
      </c>
      <c r="O443" s="31">
        <v>265.2</v>
      </c>
      <c r="P443" s="38">
        <v>107.8886</v>
      </c>
      <c r="Q443" s="22">
        <v>-0.23448616328499999</v>
      </c>
      <c r="R443" s="38">
        <v>-0.18104600000000001</v>
      </c>
      <c r="T443" s="2"/>
      <c r="U443" s="2"/>
      <c r="V443" s="24"/>
      <c r="W443" s="24"/>
      <c r="X443" s="24"/>
      <c r="Y443" s="24"/>
      <c r="Z443" s="24"/>
      <c r="AA443" s="24"/>
      <c r="AB443" s="24"/>
      <c r="AC443" s="25"/>
      <c r="AD443" s="25"/>
      <c r="AE443" s="25"/>
      <c r="AF443" s="25"/>
      <c r="AG443" s="25"/>
      <c r="AH443" s="16"/>
      <c r="AI443" s="25"/>
      <c r="AJ443" s="25"/>
      <c r="AL443" s="3"/>
      <c r="AM443" s="22"/>
      <c r="AN443" s="9"/>
      <c r="AO443" s="9"/>
      <c r="AP443" s="9"/>
      <c r="AQ443" s="9"/>
      <c r="AR443" s="2"/>
      <c r="AS443" s="31"/>
    </row>
    <row r="444" spans="1:45">
      <c r="A444" s="13">
        <v>30560</v>
      </c>
      <c r="B444" s="3">
        <v>51.0627</v>
      </c>
      <c r="C444" s="24">
        <v>102016</v>
      </c>
      <c r="D444" s="24">
        <v>91231</v>
      </c>
      <c r="E444" s="2">
        <v>9.1999999999999993</v>
      </c>
      <c r="F444" s="33">
        <v>1.4152E-2</v>
      </c>
      <c r="G444" s="33">
        <v>1.0158E-2</v>
      </c>
      <c r="H444" s="25">
        <v>12.37</v>
      </c>
      <c r="I444" s="25">
        <v>13.55</v>
      </c>
      <c r="J444" s="25">
        <v>9.4499999999999993</v>
      </c>
      <c r="K444" s="25">
        <v>9.82</v>
      </c>
      <c r="L444" s="25">
        <v>9</v>
      </c>
      <c r="M444" s="33">
        <v>92.1</v>
      </c>
      <c r="N444">
        <v>-1.7002999999999999</v>
      </c>
      <c r="O444" s="31">
        <v>267.89999999999998</v>
      </c>
      <c r="P444" s="38">
        <v>96.940839999999994</v>
      </c>
      <c r="Q444" s="22">
        <v>0</v>
      </c>
      <c r="R444" s="38">
        <v>-5.0139999999999997E-2</v>
      </c>
      <c r="T444" s="2"/>
      <c r="U444" s="2"/>
      <c r="V444" s="24"/>
      <c r="W444" s="24"/>
      <c r="X444" s="24"/>
      <c r="Y444" s="24"/>
      <c r="Z444" s="24"/>
      <c r="AA444" s="24"/>
      <c r="AB444" s="24"/>
      <c r="AC444" s="25"/>
      <c r="AD444" s="25"/>
      <c r="AE444" s="25"/>
      <c r="AF444" s="25"/>
      <c r="AG444" s="25"/>
      <c r="AH444" s="16"/>
      <c r="AI444" s="25"/>
      <c r="AJ444" s="25"/>
      <c r="AL444" s="3"/>
      <c r="AM444" s="22"/>
      <c r="AN444" s="9"/>
      <c r="AO444" s="9"/>
      <c r="AP444" s="9"/>
      <c r="AQ444" s="9"/>
      <c r="AR444" s="2"/>
      <c r="AS444" s="31"/>
    </row>
    <row r="445" spans="1:45">
      <c r="A445" s="13">
        <v>30590</v>
      </c>
      <c r="B445" s="3">
        <v>51.4756</v>
      </c>
      <c r="C445" s="24">
        <v>102039</v>
      </c>
      <c r="D445" s="24">
        <v>91502</v>
      </c>
      <c r="E445" s="2">
        <v>8.8000000000000007</v>
      </c>
      <c r="F445" s="33">
        <v>-1.3108E-2</v>
      </c>
      <c r="G445" s="33">
        <v>-1.5174E-2</v>
      </c>
      <c r="H445" s="25">
        <v>12.25</v>
      </c>
      <c r="I445" s="25">
        <v>13.46</v>
      </c>
      <c r="J445" s="25">
        <v>9.48</v>
      </c>
      <c r="K445" s="25">
        <v>9.5399999999999991</v>
      </c>
      <c r="L445" s="25">
        <v>8.64</v>
      </c>
      <c r="M445" s="33">
        <v>92.1</v>
      </c>
      <c r="N445">
        <v>-1.2749999999999999</v>
      </c>
      <c r="O445" s="31">
        <v>273.39999999999998</v>
      </c>
      <c r="P445" s="38">
        <v>145.01480000000001</v>
      </c>
      <c r="Q445" s="22">
        <v>0.28151887883299997</v>
      </c>
      <c r="R445" s="38">
        <v>-6.8434999999999996E-2</v>
      </c>
      <c r="T445" s="2"/>
      <c r="U445" s="2"/>
      <c r="V445" s="24"/>
      <c r="W445" s="24"/>
      <c r="X445" s="24"/>
      <c r="Y445" s="24"/>
      <c r="Z445" s="24"/>
      <c r="AA445" s="24"/>
      <c r="AB445" s="24"/>
      <c r="AC445" s="25"/>
      <c r="AD445" s="25"/>
      <c r="AE445" s="25"/>
      <c r="AF445" s="25"/>
      <c r="AG445" s="25"/>
      <c r="AH445" s="16"/>
      <c r="AI445" s="25"/>
      <c r="AJ445" s="25"/>
      <c r="AL445" s="3"/>
      <c r="AM445" s="22"/>
      <c r="AN445" s="9"/>
      <c r="AO445" s="9"/>
      <c r="AP445" s="9"/>
      <c r="AQ445" s="9"/>
      <c r="AR445" s="2"/>
      <c r="AS445" s="31"/>
    </row>
    <row r="446" spans="1:45">
      <c r="A446" s="13">
        <v>30621</v>
      </c>
      <c r="B446" s="3">
        <v>51.634300000000003</v>
      </c>
      <c r="C446" s="24">
        <v>102729</v>
      </c>
      <c r="D446" s="24">
        <v>91854</v>
      </c>
      <c r="E446" s="2">
        <v>8.5</v>
      </c>
      <c r="F446" s="33">
        <v>2.3845999999999999E-2</v>
      </c>
      <c r="G446" s="33">
        <v>1.7426000000000001E-2</v>
      </c>
      <c r="H446" s="25">
        <v>12.41</v>
      </c>
      <c r="I446" s="25">
        <v>13.61</v>
      </c>
      <c r="J446" s="25">
        <v>9.34</v>
      </c>
      <c r="K446" s="25">
        <v>9.7899999999999991</v>
      </c>
      <c r="L446" s="25">
        <v>8.76</v>
      </c>
      <c r="M446" s="33">
        <v>92.1</v>
      </c>
      <c r="N446">
        <v>-1.5542</v>
      </c>
      <c r="O446" s="31">
        <v>279.8</v>
      </c>
      <c r="P446" s="38">
        <v>120.2213</v>
      </c>
      <c r="Q446" s="22">
        <v>-0.172426007996</v>
      </c>
      <c r="R446" s="38">
        <v>4.4914000000000003E-2</v>
      </c>
      <c r="T446" s="2"/>
      <c r="U446" s="2"/>
      <c r="V446" s="24"/>
      <c r="W446" s="24"/>
      <c r="X446" s="24"/>
      <c r="Y446" s="24"/>
      <c r="Z446" s="24"/>
      <c r="AA446" s="24"/>
      <c r="AB446" s="24"/>
      <c r="AC446" s="25"/>
      <c r="AD446" s="25"/>
      <c r="AE446" s="25"/>
      <c r="AF446" s="25"/>
      <c r="AG446" s="25"/>
      <c r="AH446" s="16"/>
      <c r="AI446" s="25"/>
      <c r="AJ446" s="25"/>
      <c r="AL446" s="3"/>
      <c r="AM446" s="22"/>
      <c r="AN446" s="9"/>
      <c r="AO446" s="9"/>
      <c r="AP446" s="9"/>
      <c r="AQ446" s="9"/>
      <c r="AR446" s="2"/>
      <c r="AS446" s="31"/>
    </row>
    <row r="447" spans="1:45">
      <c r="A447" s="13">
        <v>30651</v>
      </c>
      <c r="B447" s="3">
        <v>51.898200000000003</v>
      </c>
      <c r="C447" s="24">
        <v>102996</v>
      </c>
      <c r="D447" s="24">
        <v>92210</v>
      </c>
      <c r="E447" s="2">
        <v>8.3000000000000007</v>
      </c>
      <c r="F447" s="33">
        <v>-5.7489999999999998E-3</v>
      </c>
      <c r="G447" s="33">
        <v>-8.8339999999999998E-3</v>
      </c>
      <c r="H447" s="25">
        <v>12.57</v>
      </c>
      <c r="I447" s="25">
        <v>13.75</v>
      </c>
      <c r="J447" s="25">
        <v>9.4700000000000006</v>
      </c>
      <c r="K447" s="25">
        <v>10.08</v>
      </c>
      <c r="L447" s="25">
        <v>9</v>
      </c>
      <c r="M447" s="33">
        <v>92</v>
      </c>
      <c r="N447">
        <v>-0.60167000000000004</v>
      </c>
      <c r="O447" s="31">
        <v>282.39999999999998</v>
      </c>
      <c r="P447" s="38">
        <v>117.89449999999999</v>
      </c>
      <c r="Q447" s="22">
        <v>0.21689761445700001</v>
      </c>
      <c r="R447" s="38">
        <v>0.127413</v>
      </c>
      <c r="T447" s="2"/>
      <c r="U447" s="2"/>
      <c r="V447" s="24"/>
      <c r="W447" s="24"/>
      <c r="X447" s="24"/>
      <c r="Y447" s="24"/>
      <c r="Z447" s="24"/>
      <c r="AA447" s="24"/>
      <c r="AB447" s="24"/>
      <c r="AC447" s="25"/>
      <c r="AD447" s="25"/>
      <c r="AE447" s="25"/>
      <c r="AF447" s="25"/>
      <c r="AG447" s="25"/>
      <c r="AH447" s="16"/>
      <c r="AI447" s="25"/>
      <c r="AJ447" s="25"/>
      <c r="AL447" s="3"/>
      <c r="AM447" s="22"/>
      <c r="AN447" s="9"/>
      <c r="AO447" s="9"/>
      <c r="AP447" s="9"/>
      <c r="AQ447" s="9"/>
      <c r="AR447" s="2"/>
      <c r="AS447" s="31"/>
    </row>
    <row r="448" spans="1:45">
      <c r="A448" s="13">
        <v>30682</v>
      </c>
      <c r="B448" s="3">
        <v>52.949100000000001</v>
      </c>
      <c r="C448" s="24">
        <v>103201</v>
      </c>
      <c r="D448" s="24">
        <v>92657</v>
      </c>
      <c r="E448" s="2">
        <v>8</v>
      </c>
      <c r="F448" s="33">
        <v>-3.898E-3</v>
      </c>
      <c r="G448" s="33">
        <v>-9.2160000000000002E-3</v>
      </c>
      <c r="H448" s="25">
        <v>12.2</v>
      </c>
      <c r="I448" s="25">
        <v>13.65</v>
      </c>
      <c r="J448" s="25">
        <v>9.56</v>
      </c>
      <c r="K448" s="25">
        <v>9.7799999999999994</v>
      </c>
      <c r="L448" s="25">
        <v>8.9</v>
      </c>
      <c r="M448" s="33">
        <v>92.1</v>
      </c>
      <c r="N448">
        <v>-0.84536</v>
      </c>
      <c r="O448" s="31">
        <v>283.60000000000002</v>
      </c>
      <c r="P448" s="38">
        <v>140.25829999999999</v>
      </c>
      <c r="Q448" s="22">
        <v>0.25743646555900002</v>
      </c>
      <c r="R448" s="38">
        <v>5.5079999999999997E-2</v>
      </c>
      <c r="T448" s="2"/>
      <c r="U448" s="2"/>
      <c r="V448" s="24"/>
      <c r="W448" s="24"/>
      <c r="X448" s="24"/>
      <c r="Y448" s="24"/>
      <c r="Z448" s="24"/>
      <c r="AA448" s="24"/>
      <c r="AB448" s="24"/>
      <c r="AC448" s="25"/>
      <c r="AD448" s="25"/>
      <c r="AE448" s="25"/>
      <c r="AF448" s="25"/>
      <c r="AG448" s="25"/>
      <c r="AH448" s="16"/>
      <c r="AI448" s="25"/>
      <c r="AJ448" s="25"/>
      <c r="AL448" s="3"/>
      <c r="AM448" s="22"/>
      <c r="AN448" s="9"/>
      <c r="AO448" s="9"/>
      <c r="AP448" s="9"/>
      <c r="AQ448" s="9"/>
      <c r="AR448" s="2"/>
      <c r="AS448" s="31"/>
    </row>
    <row r="449" spans="1:45">
      <c r="A449" s="13">
        <v>30713</v>
      </c>
      <c r="B449" s="3">
        <v>53.211300000000001</v>
      </c>
      <c r="C449" s="24">
        <v>103824</v>
      </c>
      <c r="D449" s="24">
        <v>93136</v>
      </c>
      <c r="E449" s="2">
        <v>7.8</v>
      </c>
      <c r="F449" s="33">
        <v>-3.4034000000000002E-2</v>
      </c>
      <c r="G449" s="33">
        <v>-3.8858999999999998E-2</v>
      </c>
      <c r="H449" s="25">
        <v>12.08</v>
      </c>
      <c r="I449" s="25">
        <v>13.59</v>
      </c>
      <c r="J449" s="25">
        <v>9.59</v>
      </c>
      <c r="K449" s="25">
        <v>9.91</v>
      </c>
      <c r="L449" s="25">
        <v>9.09</v>
      </c>
      <c r="M449" s="33">
        <v>92.1</v>
      </c>
      <c r="N449">
        <v>-1.1105</v>
      </c>
      <c r="O449" s="31">
        <v>283.60000000000002</v>
      </c>
      <c r="P449" s="38">
        <v>124.5574</v>
      </c>
      <c r="Q449" s="22">
        <v>0</v>
      </c>
      <c r="R449" s="38">
        <v>-5.3606000000000001E-2</v>
      </c>
      <c r="T449" s="2"/>
      <c r="U449" s="2"/>
      <c r="V449" s="24"/>
      <c r="W449" s="24"/>
      <c r="X449" s="24"/>
      <c r="Y449" s="24"/>
      <c r="Z449" s="24"/>
      <c r="AA449" s="24"/>
      <c r="AB449" s="24"/>
      <c r="AC449" s="25"/>
      <c r="AD449" s="25"/>
      <c r="AE449" s="25"/>
      <c r="AF449" s="25"/>
      <c r="AG449" s="25"/>
      <c r="AH449" s="16"/>
      <c r="AI449" s="25"/>
      <c r="AJ449" s="25"/>
      <c r="AL449" s="3"/>
      <c r="AM449" s="22"/>
      <c r="AN449" s="9"/>
      <c r="AO449" s="9"/>
      <c r="AP449" s="9"/>
      <c r="AQ449" s="9"/>
      <c r="AR449" s="2"/>
      <c r="AS449" s="31"/>
    </row>
    <row r="450" spans="1:45">
      <c r="A450" s="13">
        <v>30742</v>
      </c>
      <c r="B450" s="3">
        <v>53.458300000000001</v>
      </c>
      <c r="C450" s="24">
        <v>103967</v>
      </c>
      <c r="D450" s="24">
        <v>93411</v>
      </c>
      <c r="E450" s="2">
        <v>7.8</v>
      </c>
      <c r="F450" s="33">
        <v>1.7295000000000001E-2</v>
      </c>
      <c r="G450" s="33">
        <v>1.3498E-2</v>
      </c>
      <c r="H450" s="25">
        <v>12.57</v>
      </c>
      <c r="I450" s="25">
        <v>13.99</v>
      </c>
      <c r="J450" s="25">
        <v>9.91</v>
      </c>
      <c r="K450" s="25">
        <v>10.4</v>
      </c>
      <c r="L450" s="25">
        <v>9.52</v>
      </c>
      <c r="M450" s="33">
        <v>92.1</v>
      </c>
      <c r="N450">
        <v>1.1422000000000001</v>
      </c>
      <c r="O450" s="31">
        <v>289.2</v>
      </c>
      <c r="P450" s="38">
        <v>92.602310000000003</v>
      </c>
      <c r="Q450" s="22">
        <v>-0.100988036305</v>
      </c>
      <c r="R450" s="38">
        <v>2.7150000000000001E-2</v>
      </c>
      <c r="T450" s="2"/>
      <c r="U450" s="2"/>
      <c r="V450" s="24"/>
      <c r="W450" s="24"/>
      <c r="X450" s="24"/>
      <c r="Y450" s="24"/>
      <c r="Z450" s="24"/>
      <c r="AA450" s="24"/>
      <c r="AB450" s="24"/>
      <c r="AC450" s="25"/>
      <c r="AD450" s="25"/>
      <c r="AE450" s="25"/>
      <c r="AF450" s="25"/>
      <c r="AG450" s="25"/>
      <c r="AH450" s="16"/>
      <c r="AI450" s="25"/>
      <c r="AJ450" s="25"/>
      <c r="AL450" s="3"/>
      <c r="AM450" s="22"/>
      <c r="AN450" s="9"/>
      <c r="AO450" s="9"/>
      <c r="AP450" s="9"/>
      <c r="AQ450" s="9"/>
      <c r="AR450" s="2"/>
      <c r="AS450" s="31"/>
    </row>
    <row r="451" spans="1:45">
      <c r="A451" s="13">
        <v>30773</v>
      </c>
      <c r="B451" s="3">
        <v>53.7883</v>
      </c>
      <c r="C451" s="24">
        <v>104336</v>
      </c>
      <c r="D451" s="24">
        <v>93774</v>
      </c>
      <c r="E451" s="2">
        <v>7.7</v>
      </c>
      <c r="F451" s="33">
        <v>6.7809999999999997E-3</v>
      </c>
      <c r="G451" s="33">
        <v>5.4660000000000004E-3</v>
      </c>
      <c r="H451" s="25">
        <v>12.81</v>
      </c>
      <c r="I451" s="25">
        <v>14.31</v>
      </c>
      <c r="J451" s="25">
        <v>10.29</v>
      </c>
      <c r="K451" s="25">
        <v>10.83</v>
      </c>
      <c r="L451" s="25">
        <v>9.69</v>
      </c>
      <c r="M451" s="33">
        <v>91.9</v>
      </c>
      <c r="N451">
        <v>1.4258</v>
      </c>
      <c r="O451" s="31">
        <v>288.60000000000002</v>
      </c>
      <c r="P451" s="38">
        <v>100.26739999999999</v>
      </c>
      <c r="Q451" s="22">
        <v>0</v>
      </c>
      <c r="R451" s="38">
        <v>0.144286</v>
      </c>
      <c r="T451" s="2"/>
      <c r="U451" s="2"/>
      <c r="V451" s="24"/>
      <c r="W451" s="24"/>
      <c r="X451" s="24"/>
      <c r="Y451" s="24"/>
      <c r="Z451" s="24"/>
      <c r="AA451" s="24"/>
      <c r="AB451" s="24"/>
      <c r="AC451" s="25"/>
      <c r="AD451" s="25"/>
      <c r="AE451" s="25"/>
      <c r="AF451" s="25"/>
      <c r="AG451" s="25"/>
      <c r="AH451" s="16"/>
      <c r="AI451" s="25"/>
      <c r="AJ451" s="25"/>
      <c r="AL451" s="3"/>
      <c r="AM451" s="22"/>
      <c r="AN451" s="9"/>
      <c r="AO451" s="9"/>
      <c r="AP451" s="9"/>
      <c r="AQ451" s="9"/>
      <c r="AR451" s="2"/>
      <c r="AS451" s="31"/>
    </row>
    <row r="452" spans="1:45">
      <c r="A452" s="13">
        <v>30803</v>
      </c>
      <c r="B452" s="3">
        <v>54.0548</v>
      </c>
      <c r="C452" s="24">
        <v>105193</v>
      </c>
      <c r="D452" s="24">
        <v>94082</v>
      </c>
      <c r="E452" s="2">
        <v>7.4</v>
      </c>
      <c r="F452" s="33">
        <v>-5.3130999999999998E-2</v>
      </c>
      <c r="G452" s="33">
        <v>-5.9355999999999999E-2</v>
      </c>
      <c r="H452" s="25">
        <v>13.28</v>
      </c>
      <c r="I452" s="25">
        <v>14.74</v>
      </c>
      <c r="J452" s="25">
        <v>10.32</v>
      </c>
      <c r="K452" s="25">
        <v>11.53</v>
      </c>
      <c r="L452" s="25">
        <v>9.83</v>
      </c>
      <c r="M452" s="33">
        <v>91.9</v>
      </c>
      <c r="N452">
        <v>-0.92998999999999998</v>
      </c>
      <c r="O452" s="31">
        <v>289.5</v>
      </c>
      <c r="P452" s="38">
        <v>90.258930000000007</v>
      </c>
      <c r="Q452" s="22">
        <v>0.173243272403</v>
      </c>
      <c r="R452" s="38">
        <v>-0.29240699999999997</v>
      </c>
      <c r="T452" s="2"/>
      <c r="U452" s="2"/>
      <c r="V452" s="24"/>
      <c r="W452" s="24"/>
      <c r="X452" s="24"/>
      <c r="Y452" s="24"/>
      <c r="Z452" s="24"/>
      <c r="AA452" s="24"/>
      <c r="AB452" s="24"/>
      <c r="AC452" s="25"/>
      <c r="AD452" s="25"/>
      <c r="AE452" s="25"/>
      <c r="AF452" s="25"/>
      <c r="AG452" s="25"/>
      <c r="AH452" s="16"/>
      <c r="AI452" s="25"/>
      <c r="AJ452" s="25"/>
      <c r="AL452" s="3"/>
      <c r="AM452" s="22"/>
      <c r="AN452" s="9"/>
      <c r="AO452" s="9"/>
      <c r="AP452" s="9"/>
      <c r="AQ452" s="9"/>
      <c r="AR452" s="2"/>
      <c r="AS452" s="31"/>
    </row>
    <row r="453" spans="1:45">
      <c r="A453" s="13">
        <v>30834</v>
      </c>
      <c r="B453" s="3">
        <v>54.246499999999997</v>
      </c>
      <c r="C453" s="24">
        <v>105591</v>
      </c>
      <c r="D453" s="24">
        <v>94461</v>
      </c>
      <c r="E453" s="2">
        <v>7.2</v>
      </c>
      <c r="F453" s="33">
        <v>2.2936999999999999E-2</v>
      </c>
      <c r="G453" s="33">
        <v>1.7468999999999998E-2</v>
      </c>
      <c r="H453" s="25">
        <v>13.55</v>
      </c>
      <c r="I453" s="25">
        <v>15.05</v>
      </c>
      <c r="J453" s="25">
        <v>11.06</v>
      </c>
      <c r="K453" s="25">
        <v>11.68</v>
      </c>
      <c r="L453" s="25">
        <v>9.8699999999999992</v>
      </c>
      <c r="M453" s="33">
        <v>91.8</v>
      </c>
      <c r="N453">
        <v>3.7252999999999998</v>
      </c>
      <c r="O453" s="31">
        <v>286.2</v>
      </c>
      <c r="P453" s="38">
        <v>124.1225</v>
      </c>
      <c r="Q453" s="22">
        <v>0</v>
      </c>
      <c r="R453" s="38">
        <v>-9.8840000000000004E-3</v>
      </c>
      <c r="T453" s="2"/>
      <c r="U453" s="2"/>
      <c r="V453" s="24"/>
      <c r="W453" s="24"/>
      <c r="X453" s="24"/>
      <c r="Y453" s="24"/>
      <c r="Z453" s="24"/>
      <c r="AA453" s="24"/>
      <c r="AB453" s="24"/>
      <c r="AC453" s="25"/>
      <c r="AD453" s="25"/>
      <c r="AE453" s="25"/>
      <c r="AF453" s="25"/>
      <c r="AG453" s="25"/>
      <c r="AH453" s="16"/>
      <c r="AI453" s="25"/>
      <c r="AJ453" s="25"/>
      <c r="AL453" s="3"/>
      <c r="AM453" s="22"/>
      <c r="AN453" s="9"/>
      <c r="AO453" s="9"/>
      <c r="AP453" s="9"/>
      <c r="AQ453" s="9"/>
      <c r="AR453" s="2"/>
      <c r="AS453" s="31"/>
    </row>
    <row r="454" spans="1:45">
      <c r="A454" s="13">
        <v>30864</v>
      </c>
      <c r="B454" s="3">
        <v>54.425899999999999</v>
      </c>
      <c r="C454" s="24">
        <v>105435</v>
      </c>
      <c r="D454" s="24">
        <v>94773</v>
      </c>
      <c r="E454" s="2">
        <v>7.5</v>
      </c>
      <c r="F454" s="33">
        <v>-1.3764999999999999E-2</v>
      </c>
      <c r="G454" s="33">
        <v>-1.6451E-2</v>
      </c>
      <c r="H454" s="25">
        <v>13.44</v>
      </c>
      <c r="I454" s="25">
        <v>15.15</v>
      </c>
      <c r="J454" s="25">
        <v>11.23</v>
      </c>
      <c r="K454" s="25">
        <v>12.02</v>
      </c>
      <c r="L454" s="25">
        <v>10.119999999999999</v>
      </c>
      <c r="M454" s="33">
        <v>91.7</v>
      </c>
      <c r="N454">
        <v>0.15554000000000001</v>
      </c>
      <c r="O454" s="31">
        <v>280.10000000000002</v>
      </c>
      <c r="P454" s="38">
        <v>89.427549999999997</v>
      </c>
      <c r="Q454" s="22">
        <v>0.32681284619399997</v>
      </c>
      <c r="R454" s="38">
        <v>-0.124003</v>
      </c>
      <c r="T454" s="2"/>
      <c r="U454" s="2"/>
      <c r="V454" s="24"/>
      <c r="W454" s="24"/>
      <c r="X454" s="24"/>
      <c r="Y454" s="24"/>
      <c r="Z454" s="24"/>
      <c r="AA454" s="24"/>
      <c r="AB454" s="24"/>
      <c r="AC454" s="25"/>
      <c r="AD454" s="25"/>
      <c r="AE454" s="25"/>
      <c r="AF454" s="25"/>
      <c r="AG454" s="25"/>
      <c r="AH454" s="16"/>
      <c r="AI454" s="25"/>
      <c r="AJ454" s="25"/>
      <c r="AL454" s="3"/>
      <c r="AM454" s="22"/>
      <c r="AN454" s="9"/>
      <c r="AO454" s="9"/>
      <c r="AP454" s="9"/>
      <c r="AQ454" s="9"/>
      <c r="AR454" s="2"/>
      <c r="AS454" s="31"/>
    </row>
    <row r="455" spans="1:45">
      <c r="A455" s="13">
        <v>30895</v>
      </c>
      <c r="B455" s="3">
        <v>54.467399999999998</v>
      </c>
      <c r="C455" s="24">
        <v>105163</v>
      </c>
      <c r="D455" s="24">
        <v>95014</v>
      </c>
      <c r="E455" s="2">
        <v>7.5</v>
      </c>
      <c r="F455" s="33">
        <v>0.112438</v>
      </c>
      <c r="G455" s="33">
        <v>0.106332</v>
      </c>
      <c r="H455" s="25">
        <v>12.87</v>
      </c>
      <c r="I455" s="25">
        <v>14.63</v>
      </c>
      <c r="J455" s="25">
        <v>11.64</v>
      </c>
      <c r="K455" s="25">
        <v>11.8</v>
      </c>
      <c r="L455" s="25">
        <v>10.47</v>
      </c>
      <c r="M455" s="33">
        <v>91.5</v>
      </c>
      <c r="N455">
        <v>2.9607000000000001</v>
      </c>
      <c r="O455" s="31">
        <v>275.60000000000002</v>
      </c>
      <c r="P455" s="38">
        <v>103.27630000000001</v>
      </c>
      <c r="Q455" s="22">
        <v>-6.1283935422000002E-2</v>
      </c>
      <c r="R455" s="38">
        <v>0.220052</v>
      </c>
      <c r="T455" s="2"/>
      <c r="U455" s="2"/>
      <c r="V455" s="24"/>
      <c r="W455" s="24"/>
      <c r="X455" s="24"/>
      <c r="Y455" s="24"/>
      <c r="Z455" s="24"/>
      <c r="AA455" s="24"/>
      <c r="AB455" s="24"/>
      <c r="AC455" s="25"/>
      <c r="AD455" s="25"/>
      <c r="AE455" s="25"/>
      <c r="AF455" s="25"/>
      <c r="AG455" s="25"/>
      <c r="AH455" s="16"/>
      <c r="AI455" s="25"/>
      <c r="AJ455" s="25"/>
      <c r="AL455" s="3"/>
      <c r="AM455" s="22"/>
      <c r="AN455" s="9"/>
      <c r="AO455" s="9"/>
      <c r="AP455" s="9"/>
      <c r="AQ455" s="9"/>
      <c r="AR455" s="2"/>
      <c r="AS455" s="31"/>
    </row>
    <row r="456" spans="1:45">
      <c r="A456" s="13">
        <v>30926</v>
      </c>
      <c r="B456" s="3">
        <v>54.380600000000001</v>
      </c>
      <c r="C456" s="24">
        <v>105490</v>
      </c>
      <c r="D456" s="24">
        <v>95325</v>
      </c>
      <c r="E456" s="2">
        <v>7.3</v>
      </c>
      <c r="F456" s="33">
        <v>-6.3999999999999997E-5</v>
      </c>
      <c r="G456" s="33">
        <v>-3.48E-3</v>
      </c>
      <c r="H456" s="25">
        <v>12.66</v>
      </c>
      <c r="I456" s="25">
        <v>14.35</v>
      </c>
      <c r="J456" s="25">
        <v>11.3</v>
      </c>
      <c r="K456" s="25">
        <v>11.67</v>
      </c>
      <c r="L456" s="25">
        <v>10.37</v>
      </c>
      <c r="M456" s="33">
        <v>91.4</v>
      </c>
      <c r="N456">
        <v>-1.7503</v>
      </c>
      <c r="O456" s="31">
        <v>274</v>
      </c>
      <c r="P456" s="38">
        <v>97.560050000000004</v>
      </c>
      <c r="Q456" s="22">
        <v>0</v>
      </c>
      <c r="R456" s="38">
        <v>-2.0993000000000001E-2</v>
      </c>
      <c r="T456" s="2"/>
      <c r="U456" s="2"/>
      <c r="V456" s="24"/>
      <c r="W456" s="24"/>
      <c r="X456" s="24"/>
      <c r="Y456" s="24"/>
      <c r="Z456" s="24"/>
      <c r="AA456" s="24"/>
      <c r="AB456" s="24"/>
      <c r="AC456" s="25"/>
      <c r="AD456" s="25"/>
      <c r="AE456" s="25"/>
      <c r="AF456" s="25"/>
      <c r="AG456" s="25"/>
      <c r="AH456" s="16"/>
      <c r="AI456" s="25"/>
      <c r="AJ456" s="25"/>
      <c r="AL456" s="3"/>
      <c r="AM456" s="22"/>
      <c r="AN456" s="9"/>
      <c r="AO456" s="9"/>
      <c r="AP456" s="9"/>
      <c r="AQ456" s="9"/>
      <c r="AR456" s="2"/>
      <c r="AS456" s="31"/>
    </row>
    <row r="457" spans="1:45">
      <c r="A457" s="13">
        <v>30956</v>
      </c>
      <c r="B457" s="3">
        <v>54.307200000000002</v>
      </c>
      <c r="C457" s="24">
        <v>105638</v>
      </c>
      <c r="D457" s="24">
        <v>95611</v>
      </c>
      <c r="E457" s="2">
        <v>7.4</v>
      </c>
      <c r="F457" s="33">
        <v>3.3310000000000002E-3</v>
      </c>
      <c r="G457" s="33">
        <v>-6.0000000000000002E-5</v>
      </c>
      <c r="H457" s="25">
        <v>12.63</v>
      </c>
      <c r="I457" s="25">
        <v>13.94</v>
      </c>
      <c r="J457" s="25">
        <v>9.99</v>
      </c>
      <c r="K457" s="25">
        <v>10.77</v>
      </c>
      <c r="L457" s="25">
        <v>9.74</v>
      </c>
      <c r="M457" s="33">
        <v>91.3</v>
      </c>
      <c r="N457">
        <v>-7.7378</v>
      </c>
      <c r="O457" s="31">
        <v>266.39999999999998</v>
      </c>
      <c r="P457" s="38">
        <v>101.3985</v>
      </c>
      <c r="Q457" s="22">
        <v>3.5286516289000001E-2</v>
      </c>
      <c r="R457" s="38">
        <v>-0.238285</v>
      </c>
      <c r="T457" s="2"/>
      <c r="U457" s="2"/>
      <c r="V457" s="24"/>
      <c r="W457" s="24"/>
      <c r="X457" s="24"/>
      <c r="Y457" s="24"/>
      <c r="Z457" s="24"/>
      <c r="AA457" s="24"/>
      <c r="AB457" s="24"/>
      <c r="AC457" s="25"/>
      <c r="AD457" s="25"/>
      <c r="AE457" s="25"/>
      <c r="AF457" s="25"/>
      <c r="AG457" s="25"/>
      <c r="AH457" s="16"/>
      <c r="AI457" s="25"/>
      <c r="AJ457" s="25"/>
      <c r="AL457" s="3"/>
      <c r="AM457" s="22"/>
      <c r="AN457" s="9"/>
      <c r="AO457" s="9"/>
      <c r="AP457" s="9"/>
      <c r="AQ457" s="9"/>
      <c r="AR457" s="2"/>
      <c r="AS457" s="31"/>
    </row>
    <row r="458" spans="1:45">
      <c r="A458" s="13">
        <v>30987</v>
      </c>
      <c r="B458" s="3">
        <v>54.513199999999998</v>
      </c>
      <c r="C458" s="24">
        <v>105972</v>
      </c>
      <c r="D458" s="24">
        <v>95960</v>
      </c>
      <c r="E458" s="2">
        <v>7.2</v>
      </c>
      <c r="F458" s="33">
        <v>-9.8410000000000008E-3</v>
      </c>
      <c r="G458" s="33">
        <v>-1.5112E-2</v>
      </c>
      <c r="H458" s="25">
        <v>12.29</v>
      </c>
      <c r="I458" s="25">
        <v>13.48</v>
      </c>
      <c r="J458" s="25">
        <v>9.43</v>
      </c>
      <c r="K458" s="25">
        <v>9.5</v>
      </c>
      <c r="L458" s="25">
        <v>8.61</v>
      </c>
      <c r="M458" s="33">
        <v>89.4</v>
      </c>
      <c r="N458">
        <v>-1.4894000000000001</v>
      </c>
      <c r="O458" s="31">
        <v>268.3</v>
      </c>
      <c r="P458" s="38">
        <v>137.86959999999999</v>
      </c>
      <c r="Q458" s="22">
        <v>-0.545643144463</v>
      </c>
      <c r="R458" s="38">
        <v>-7.0947999999999997E-2</v>
      </c>
      <c r="T458" s="2"/>
      <c r="U458" s="2"/>
      <c r="V458" s="24"/>
      <c r="W458" s="24"/>
      <c r="X458" s="24"/>
      <c r="Y458" s="24"/>
      <c r="Z458" s="24"/>
      <c r="AA458" s="24"/>
      <c r="AB458" s="24"/>
      <c r="AC458" s="25"/>
      <c r="AD458" s="25"/>
      <c r="AE458" s="25"/>
      <c r="AF458" s="25"/>
      <c r="AG458" s="25"/>
      <c r="AH458" s="16"/>
      <c r="AI458" s="25"/>
      <c r="AJ458" s="25"/>
      <c r="AL458" s="3"/>
      <c r="AM458" s="22"/>
      <c r="AN458" s="9"/>
      <c r="AO458" s="9"/>
      <c r="AP458" s="9"/>
      <c r="AQ458" s="9"/>
      <c r="AR458" s="2"/>
      <c r="AS458" s="31"/>
    </row>
    <row r="459" spans="1:45">
      <c r="A459" s="13">
        <v>31017</v>
      </c>
      <c r="B459" s="3">
        <v>54.570099999999996</v>
      </c>
      <c r="C459" s="24">
        <v>106223</v>
      </c>
      <c r="D459" s="24">
        <v>96087</v>
      </c>
      <c r="E459" s="2">
        <v>7.3</v>
      </c>
      <c r="F459" s="33">
        <v>2.5555999999999999E-2</v>
      </c>
      <c r="G459" s="33">
        <v>2.2374000000000002E-2</v>
      </c>
      <c r="H459" s="25">
        <v>12.13</v>
      </c>
      <c r="I459" s="25">
        <v>13.4</v>
      </c>
      <c r="J459" s="25">
        <v>8.3800000000000008</v>
      </c>
      <c r="K459" s="25">
        <v>8.9</v>
      </c>
      <c r="L459" s="25">
        <v>8.06</v>
      </c>
      <c r="M459" s="33">
        <v>88.6</v>
      </c>
      <c r="N459">
        <v>-5.1501999999999999</v>
      </c>
      <c r="O459" s="31">
        <v>261.89999999999998</v>
      </c>
      <c r="P459" s="38">
        <v>147.35230000000001</v>
      </c>
      <c r="Q459" s="22">
        <v>-0.14361097584400001</v>
      </c>
      <c r="R459" s="38">
        <v>-1.673E-3</v>
      </c>
      <c r="T459" s="2"/>
      <c r="U459" s="2"/>
      <c r="V459" s="24"/>
      <c r="W459" s="24"/>
      <c r="X459" s="24"/>
      <c r="Y459" s="24"/>
      <c r="Z459" s="24"/>
      <c r="AA459" s="24"/>
      <c r="AB459" s="24"/>
      <c r="AC459" s="25"/>
      <c r="AD459" s="25"/>
      <c r="AE459" s="25"/>
      <c r="AF459" s="25"/>
      <c r="AG459" s="25"/>
      <c r="AH459" s="16"/>
      <c r="AI459" s="25"/>
      <c r="AJ459" s="25"/>
      <c r="AL459" s="3"/>
      <c r="AM459" s="22"/>
      <c r="AN459" s="9"/>
      <c r="AO459" s="9"/>
      <c r="AP459" s="9"/>
      <c r="AQ459" s="9"/>
      <c r="AR459" s="2"/>
      <c r="AS459" s="31"/>
    </row>
    <row r="460" spans="1:45">
      <c r="A460" s="13">
        <v>31048</v>
      </c>
      <c r="B460" s="3">
        <v>54.438099999999999</v>
      </c>
      <c r="C460" s="24">
        <v>106302</v>
      </c>
      <c r="D460" s="24">
        <v>96353</v>
      </c>
      <c r="E460" s="2">
        <v>7.3</v>
      </c>
      <c r="F460" s="33">
        <v>7.6868000000000006E-2</v>
      </c>
      <c r="G460" s="33">
        <v>7.4084999999999998E-2</v>
      </c>
      <c r="H460" s="25">
        <v>12.08</v>
      </c>
      <c r="I460" s="25">
        <v>13.26</v>
      </c>
      <c r="J460" s="25">
        <v>8.35</v>
      </c>
      <c r="K460" s="25">
        <v>8.3699999999999992</v>
      </c>
      <c r="L460" s="25">
        <v>7.76</v>
      </c>
      <c r="M460" s="33">
        <v>86.1</v>
      </c>
      <c r="N460">
        <v>2.4403000000000001</v>
      </c>
      <c r="O460" s="31">
        <v>255.8</v>
      </c>
      <c r="P460" s="38">
        <v>135.0565</v>
      </c>
      <c r="Q460" s="22">
        <v>0</v>
      </c>
      <c r="R460" s="38">
        <v>-7.6290999999999998E-2</v>
      </c>
      <c r="T460" s="2"/>
      <c r="U460" s="2"/>
      <c r="V460" s="24"/>
      <c r="W460" s="24"/>
      <c r="X460" s="24"/>
      <c r="Y460" s="24"/>
      <c r="Z460" s="24"/>
      <c r="AA460" s="24"/>
      <c r="AB460" s="24"/>
      <c r="AC460" s="25"/>
      <c r="AD460" s="25"/>
      <c r="AE460" s="25"/>
      <c r="AF460" s="25"/>
      <c r="AG460" s="25"/>
      <c r="AH460" s="16"/>
      <c r="AI460" s="25"/>
      <c r="AJ460" s="25"/>
      <c r="AL460" s="3"/>
      <c r="AM460" s="22"/>
      <c r="AN460" s="9"/>
      <c r="AO460" s="9"/>
      <c r="AP460" s="9"/>
      <c r="AQ460" s="9"/>
      <c r="AR460" s="2"/>
      <c r="AS460" s="31"/>
    </row>
    <row r="461" spans="1:45">
      <c r="A461" s="13">
        <v>31079</v>
      </c>
      <c r="B461" s="3">
        <v>54.670299999999997</v>
      </c>
      <c r="C461" s="24">
        <v>106555</v>
      </c>
      <c r="D461" s="24">
        <v>96477</v>
      </c>
      <c r="E461" s="2">
        <v>7.2</v>
      </c>
      <c r="F461" s="33">
        <v>1.4166E-2</v>
      </c>
      <c r="G461" s="33">
        <v>8.685E-3</v>
      </c>
      <c r="H461" s="25">
        <v>12.13</v>
      </c>
      <c r="I461" s="25">
        <v>13.23</v>
      </c>
      <c r="J461" s="25">
        <v>8.5</v>
      </c>
      <c r="K461" s="25">
        <v>9.0500000000000007</v>
      </c>
      <c r="L461" s="25">
        <v>8.27</v>
      </c>
      <c r="M461" s="33">
        <v>83.9</v>
      </c>
      <c r="N461">
        <v>2.0150999999999999</v>
      </c>
      <c r="O461" s="31">
        <v>253.1</v>
      </c>
      <c r="P461" s="38">
        <v>120.5556</v>
      </c>
      <c r="Q461" s="22">
        <v>-0.157752492982</v>
      </c>
      <c r="R461" s="38">
        <v>-9.7689999999999999E-2</v>
      </c>
      <c r="T461" s="2"/>
      <c r="U461" s="2"/>
      <c r="V461" s="24"/>
      <c r="W461" s="24"/>
      <c r="X461" s="24"/>
      <c r="Y461" s="24"/>
      <c r="Z461" s="24"/>
      <c r="AA461" s="24"/>
      <c r="AB461" s="24"/>
      <c r="AC461" s="25"/>
      <c r="AD461" s="25"/>
      <c r="AE461" s="25"/>
      <c r="AF461" s="25"/>
      <c r="AG461" s="25"/>
      <c r="AH461" s="16"/>
      <c r="AI461" s="25"/>
      <c r="AJ461" s="25"/>
      <c r="AL461" s="3"/>
      <c r="AM461" s="22"/>
      <c r="AN461" s="9"/>
      <c r="AO461" s="9"/>
      <c r="AP461" s="9"/>
      <c r="AQ461" s="9"/>
      <c r="AR461" s="2"/>
      <c r="AS461" s="31"/>
    </row>
    <row r="462" spans="1:45">
      <c r="A462" s="13">
        <v>31107</v>
      </c>
      <c r="B462" s="3">
        <v>54.736199999999997</v>
      </c>
      <c r="C462" s="24">
        <v>106989</v>
      </c>
      <c r="D462" s="24">
        <v>96823</v>
      </c>
      <c r="E462" s="2">
        <v>7.2</v>
      </c>
      <c r="F462" s="33">
        <v>-6.3599999999999996E-4</v>
      </c>
      <c r="G462" s="33">
        <v>-2.9250000000000001E-3</v>
      </c>
      <c r="H462" s="25">
        <v>12.56</v>
      </c>
      <c r="I462" s="25">
        <v>13.69</v>
      </c>
      <c r="J462" s="25">
        <v>8.58</v>
      </c>
      <c r="K462" s="25">
        <v>9.32</v>
      </c>
      <c r="L462" s="25">
        <v>8.52</v>
      </c>
      <c r="M462" s="33">
        <v>83.9</v>
      </c>
      <c r="N462">
        <v>1.1688000000000001</v>
      </c>
      <c r="O462" s="31">
        <v>252.4</v>
      </c>
      <c r="P462" s="38">
        <v>129.8159</v>
      </c>
      <c r="Q462" s="22">
        <v>0.20127599117700001</v>
      </c>
      <c r="R462" s="38">
        <v>0.13619999999999999</v>
      </c>
      <c r="T462" s="2"/>
      <c r="U462" s="2"/>
      <c r="V462" s="24"/>
      <c r="W462" s="24"/>
      <c r="X462" s="24"/>
      <c r="Y462" s="24"/>
      <c r="Z462" s="24"/>
      <c r="AA462" s="24"/>
      <c r="AB462" s="24"/>
      <c r="AC462" s="25"/>
      <c r="AD462" s="25"/>
      <c r="AE462" s="25"/>
      <c r="AF462" s="25"/>
      <c r="AG462" s="25"/>
      <c r="AH462" s="16"/>
      <c r="AI462" s="25"/>
      <c r="AJ462" s="25"/>
      <c r="AL462" s="3"/>
      <c r="AM462" s="22"/>
      <c r="AN462" s="9"/>
      <c r="AO462" s="9"/>
      <c r="AP462" s="9"/>
      <c r="AQ462" s="9"/>
      <c r="AR462" s="2"/>
      <c r="AS462" s="31"/>
    </row>
    <row r="463" spans="1:45">
      <c r="A463" s="13">
        <v>31138</v>
      </c>
      <c r="B463" s="3">
        <v>54.6038</v>
      </c>
      <c r="C463" s="24">
        <v>106936</v>
      </c>
      <c r="D463" s="24">
        <v>97018</v>
      </c>
      <c r="E463" s="2">
        <v>7.3</v>
      </c>
      <c r="F463" s="33">
        <v>-3.7039999999999998E-3</v>
      </c>
      <c r="G463" s="33">
        <v>-4.594E-3</v>
      </c>
      <c r="H463" s="25">
        <v>12.23</v>
      </c>
      <c r="I463" s="25">
        <v>13.51</v>
      </c>
      <c r="J463" s="25">
        <v>8.27</v>
      </c>
      <c r="K463" s="25">
        <v>8.74</v>
      </c>
      <c r="L463" s="25">
        <v>7.95</v>
      </c>
      <c r="M463" s="33">
        <v>84.2</v>
      </c>
      <c r="N463">
        <v>-2.6669</v>
      </c>
      <c r="O463" s="31">
        <v>257.10000000000002</v>
      </c>
      <c r="P463" s="38">
        <v>132.0206</v>
      </c>
      <c r="Q463" s="22">
        <v>0</v>
      </c>
      <c r="R463" s="38">
        <v>-3.2710999999999997E-2</v>
      </c>
      <c r="T463" s="2"/>
      <c r="U463" s="2"/>
      <c r="V463" s="24"/>
      <c r="W463" s="24"/>
      <c r="X463" s="24"/>
      <c r="Y463" s="24"/>
      <c r="Z463" s="24"/>
      <c r="AA463" s="24"/>
      <c r="AB463" s="24"/>
      <c r="AC463" s="25"/>
      <c r="AD463" s="25"/>
      <c r="AE463" s="25"/>
      <c r="AF463" s="25"/>
      <c r="AG463" s="25"/>
      <c r="AH463" s="16"/>
      <c r="AI463" s="25"/>
      <c r="AJ463" s="25"/>
      <c r="AL463" s="3"/>
      <c r="AM463" s="22"/>
      <c r="AN463" s="9"/>
      <c r="AO463" s="9"/>
      <c r="AP463" s="9"/>
      <c r="AQ463" s="9"/>
      <c r="AR463" s="2"/>
      <c r="AS463" s="31"/>
    </row>
    <row r="464" spans="1:45">
      <c r="A464" s="13">
        <v>31168</v>
      </c>
      <c r="B464" s="3">
        <v>54.672800000000002</v>
      </c>
      <c r="C464" s="24">
        <v>106932</v>
      </c>
      <c r="D464" s="24">
        <v>97292</v>
      </c>
      <c r="E464" s="2">
        <v>7.2</v>
      </c>
      <c r="F464" s="33">
        <v>6.2740000000000004E-2</v>
      </c>
      <c r="G464" s="33">
        <v>5.4051000000000002E-2</v>
      </c>
      <c r="H464" s="25">
        <v>11.72</v>
      </c>
      <c r="I464" s="25">
        <v>13.15</v>
      </c>
      <c r="J464" s="25">
        <v>7.97</v>
      </c>
      <c r="K464" s="25">
        <v>8.1300000000000008</v>
      </c>
      <c r="L464" s="25">
        <v>7.48</v>
      </c>
      <c r="M464" s="33">
        <v>84.7</v>
      </c>
      <c r="N464">
        <v>-2.1739000000000002</v>
      </c>
      <c r="O464" s="31">
        <v>252</v>
      </c>
      <c r="P464" s="38">
        <v>139.90700000000001</v>
      </c>
      <c r="Q464" s="22">
        <v>-0.10394844059400001</v>
      </c>
      <c r="R464" s="38">
        <v>-0.19611500000000001</v>
      </c>
      <c r="T464" s="2"/>
      <c r="U464" s="2"/>
      <c r="V464" s="24"/>
      <c r="W464" s="24"/>
      <c r="X464" s="24"/>
      <c r="Y464" s="24"/>
      <c r="Z464" s="24"/>
      <c r="AA464" s="24"/>
      <c r="AB464" s="24"/>
      <c r="AC464" s="25"/>
      <c r="AD464" s="25"/>
      <c r="AE464" s="25"/>
      <c r="AF464" s="25"/>
      <c r="AG464" s="25"/>
      <c r="AH464" s="16"/>
      <c r="AI464" s="25"/>
      <c r="AJ464" s="25"/>
      <c r="AL464" s="3"/>
      <c r="AM464" s="22"/>
      <c r="AN464" s="9"/>
      <c r="AO464" s="9"/>
      <c r="AP464" s="9"/>
      <c r="AQ464" s="9"/>
      <c r="AR464" s="2"/>
      <c r="AS464" s="31"/>
    </row>
    <row r="465" spans="1:45">
      <c r="A465" s="13">
        <v>31199</v>
      </c>
      <c r="B465" s="3">
        <v>54.711100000000002</v>
      </c>
      <c r="C465" s="24">
        <v>106505</v>
      </c>
      <c r="D465" s="24">
        <v>97437</v>
      </c>
      <c r="E465" s="2">
        <v>7.4</v>
      </c>
      <c r="F465" s="33">
        <v>1.6064999999999999E-2</v>
      </c>
      <c r="G465" s="33">
        <v>1.2134000000000001E-2</v>
      </c>
      <c r="H465" s="25">
        <v>10.94</v>
      </c>
      <c r="I465" s="25">
        <v>12.4</v>
      </c>
      <c r="J465" s="25">
        <v>7.53</v>
      </c>
      <c r="K465" s="25">
        <v>7.6</v>
      </c>
      <c r="L465" s="25">
        <v>6.95</v>
      </c>
      <c r="M465" s="33">
        <v>84.6</v>
      </c>
      <c r="N465">
        <v>-2.6265000000000001</v>
      </c>
      <c r="O465" s="31">
        <v>242.9</v>
      </c>
      <c r="P465" s="38">
        <v>155.49619999999999</v>
      </c>
      <c r="Q465" s="22">
        <v>0</v>
      </c>
      <c r="R465" s="38">
        <v>0.214336</v>
      </c>
      <c r="T465" s="2"/>
      <c r="U465" s="2"/>
      <c r="V465" s="24"/>
      <c r="W465" s="24"/>
      <c r="X465" s="24"/>
      <c r="Y465" s="24"/>
      <c r="Z465" s="24"/>
      <c r="AA465" s="24"/>
      <c r="AB465" s="24"/>
      <c r="AC465" s="25"/>
      <c r="AD465" s="25"/>
      <c r="AE465" s="25"/>
      <c r="AF465" s="25"/>
      <c r="AG465" s="25"/>
      <c r="AH465" s="16"/>
      <c r="AI465" s="25"/>
      <c r="AJ465" s="25"/>
      <c r="AL465" s="3"/>
      <c r="AM465" s="22"/>
      <c r="AN465" s="9"/>
      <c r="AO465" s="9"/>
      <c r="AP465" s="9"/>
      <c r="AQ465" s="9"/>
      <c r="AR465" s="2"/>
      <c r="AS465" s="31"/>
    </row>
    <row r="466" spans="1:45">
      <c r="A466" s="13">
        <v>31229</v>
      </c>
      <c r="B466" s="3">
        <v>54.332000000000001</v>
      </c>
      <c r="C466" s="24">
        <v>106807</v>
      </c>
      <c r="D466" s="24">
        <v>97626</v>
      </c>
      <c r="E466" s="2">
        <v>7.4</v>
      </c>
      <c r="F466" s="33">
        <v>-3.3210000000000002E-3</v>
      </c>
      <c r="G466" s="33">
        <v>-4.8479999999999999E-3</v>
      </c>
      <c r="H466" s="25">
        <v>10.97</v>
      </c>
      <c r="I466" s="25">
        <v>12.43</v>
      </c>
      <c r="J466" s="25">
        <v>7.88</v>
      </c>
      <c r="K466" s="25">
        <v>7.89</v>
      </c>
      <c r="L466" s="25">
        <v>7.08</v>
      </c>
      <c r="M466" s="33">
        <v>84.4</v>
      </c>
      <c r="N466">
        <v>4.1197999999999997</v>
      </c>
      <c r="O466" s="31">
        <v>240.7</v>
      </c>
      <c r="P466" s="38">
        <v>153.47370000000001</v>
      </c>
      <c r="Q466" s="22">
        <v>6.0238727713999997E-2</v>
      </c>
      <c r="R466" s="38">
        <v>0.13592799999999999</v>
      </c>
      <c r="T466" s="2"/>
      <c r="U466" s="2"/>
      <c r="V466" s="24"/>
      <c r="W466" s="24"/>
      <c r="X466" s="24"/>
      <c r="Y466" s="24"/>
      <c r="Z466" s="24"/>
      <c r="AA466" s="24"/>
      <c r="AB466" s="24"/>
      <c r="AC466" s="25"/>
      <c r="AD466" s="25"/>
      <c r="AE466" s="25"/>
      <c r="AF466" s="25"/>
      <c r="AG466" s="25"/>
      <c r="AH466" s="16"/>
      <c r="AI466" s="25"/>
      <c r="AJ466" s="25"/>
      <c r="AL466" s="3"/>
      <c r="AM466" s="22"/>
      <c r="AN466" s="9"/>
      <c r="AO466" s="9"/>
      <c r="AP466" s="9"/>
      <c r="AQ466" s="9"/>
      <c r="AR466" s="2"/>
      <c r="AS466" s="31"/>
    </row>
    <row r="467" spans="1:45">
      <c r="A467" s="13">
        <v>31260</v>
      </c>
      <c r="B467" s="3">
        <v>54.572099999999999</v>
      </c>
      <c r="C467" s="24">
        <v>107095</v>
      </c>
      <c r="D467" s="24">
        <v>97819</v>
      </c>
      <c r="E467" s="2">
        <v>7.1</v>
      </c>
      <c r="F467" s="33">
        <v>-6.4729999999999996E-3</v>
      </c>
      <c r="G467" s="33">
        <v>-1.1995E-2</v>
      </c>
      <c r="H467" s="25">
        <v>11.05</v>
      </c>
      <c r="I467" s="25">
        <v>12.5</v>
      </c>
      <c r="J467" s="25">
        <v>7.9</v>
      </c>
      <c r="K467" s="25">
        <v>8.02</v>
      </c>
      <c r="L467" s="25">
        <v>7.14</v>
      </c>
      <c r="M467" s="33">
        <v>83.7</v>
      </c>
      <c r="N467">
        <v>1.0654999999999999</v>
      </c>
      <c r="O467" s="31">
        <v>239.8</v>
      </c>
      <c r="P467" s="38">
        <v>131.17080000000001</v>
      </c>
      <c r="Q467" s="22">
        <v>0.186386124486</v>
      </c>
      <c r="R467" s="38">
        <v>0.14769199999999999</v>
      </c>
      <c r="T467" s="2"/>
      <c r="U467" s="2"/>
      <c r="V467" s="24"/>
      <c r="W467" s="24"/>
      <c r="X467" s="24"/>
      <c r="Y467" s="24"/>
      <c r="Z467" s="24"/>
      <c r="AA467" s="24"/>
      <c r="AB467" s="24"/>
      <c r="AC467" s="25"/>
      <c r="AD467" s="25"/>
      <c r="AE467" s="25"/>
      <c r="AF467" s="25"/>
      <c r="AG467" s="25"/>
      <c r="AH467" s="16"/>
      <c r="AI467" s="25"/>
      <c r="AJ467" s="25"/>
      <c r="AL467" s="3"/>
      <c r="AM467" s="22"/>
      <c r="AN467" s="9"/>
      <c r="AO467" s="9"/>
      <c r="AP467" s="9"/>
      <c r="AQ467" s="9"/>
      <c r="AR467" s="2"/>
      <c r="AS467" s="31"/>
    </row>
    <row r="468" spans="1:45">
      <c r="A468" s="13">
        <v>31291</v>
      </c>
      <c r="B468" s="3">
        <v>54.8033</v>
      </c>
      <c r="C468" s="24">
        <v>107657</v>
      </c>
      <c r="D468" s="24">
        <v>98023</v>
      </c>
      <c r="E468" s="2">
        <v>7.1</v>
      </c>
      <c r="F468" s="33">
        <v>-3.3248E-2</v>
      </c>
      <c r="G468" s="33">
        <v>-3.4723999999999998E-2</v>
      </c>
      <c r="H468" s="25">
        <v>11.07</v>
      </c>
      <c r="I468" s="25">
        <v>12.48</v>
      </c>
      <c r="J468" s="25">
        <v>7.92</v>
      </c>
      <c r="K468" s="25">
        <v>8.14</v>
      </c>
      <c r="L468" s="25">
        <v>7.1</v>
      </c>
      <c r="M468" s="33">
        <v>83.9</v>
      </c>
      <c r="N468">
        <v>0.75995999999999997</v>
      </c>
      <c r="O468" s="31">
        <v>238</v>
      </c>
      <c r="P468" s="38">
        <v>140.34229999999999</v>
      </c>
      <c r="Q468" s="22">
        <v>0</v>
      </c>
      <c r="R468" s="38">
        <v>0.25192700000000001</v>
      </c>
      <c r="T468" s="2"/>
      <c r="U468" s="2"/>
      <c r="V468" s="24"/>
      <c r="W468" s="24"/>
      <c r="X468" s="24"/>
      <c r="Y468" s="24"/>
      <c r="Z468" s="24"/>
      <c r="AA468" s="24"/>
      <c r="AB468" s="24"/>
      <c r="AC468" s="25"/>
      <c r="AD468" s="25"/>
      <c r="AE468" s="25"/>
      <c r="AF468" s="25"/>
      <c r="AG468" s="25"/>
      <c r="AH468" s="16"/>
      <c r="AI468" s="25"/>
      <c r="AJ468" s="25"/>
      <c r="AL468" s="3"/>
      <c r="AM468" s="22"/>
      <c r="AN468" s="9"/>
      <c r="AO468" s="9"/>
      <c r="AP468" s="9"/>
      <c r="AQ468" s="9"/>
      <c r="AR468" s="2"/>
      <c r="AS468" s="31"/>
    </row>
    <row r="469" spans="1:45">
      <c r="A469" s="13">
        <v>31321</v>
      </c>
      <c r="B469" s="3">
        <v>54.583599999999997</v>
      </c>
      <c r="C469" s="24">
        <v>107847</v>
      </c>
      <c r="D469" s="24">
        <v>98210</v>
      </c>
      <c r="E469" s="2">
        <v>7.1</v>
      </c>
      <c r="F469" s="33">
        <v>4.5079000000000001E-2</v>
      </c>
      <c r="G469" s="33">
        <v>4.2508999999999998E-2</v>
      </c>
      <c r="H469" s="25">
        <v>11.02</v>
      </c>
      <c r="I469" s="25">
        <v>12.36</v>
      </c>
      <c r="J469" s="25">
        <v>7.99</v>
      </c>
      <c r="K469" s="25">
        <v>8.08</v>
      </c>
      <c r="L469" s="25">
        <v>7.16</v>
      </c>
      <c r="M469" s="33">
        <v>84.3</v>
      </c>
      <c r="N469">
        <v>0.50536999999999999</v>
      </c>
      <c r="O469" s="31">
        <v>236.9</v>
      </c>
      <c r="P469" s="38">
        <v>106.9324</v>
      </c>
      <c r="Q469" s="22">
        <v>0.104016372067</v>
      </c>
      <c r="R469" s="38">
        <v>0.29644900000000002</v>
      </c>
      <c r="T469" s="2"/>
      <c r="U469" s="2"/>
      <c r="V469" s="24"/>
      <c r="W469" s="24"/>
      <c r="X469" s="24"/>
      <c r="Y469" s="24"/>
      <c r="Z469" s="24"/>
      <c r="AA469" s="24"/>
      <c r="AB469" s="24"/>
      <c r="AC469" s="25"/>
      <c r="AD469" s="25"/>
      <c r="AE469" s="25"/>
      <c r="AF469" s="25"/>
      <c r="AG469" s="25"/>
      <c r="AH469" s="16"/>
      <c r="AI469" s="25"/>
      <c r="AJ469" s="25"/>
      <c r="AL469" s="3"/>
      <c r="AM469" s="22"/>
      <c r="AN469" s="9"/>
      <c r="AO469" s="9"/>
      <c r="AP469" s="9"/>
      <c r="AQ469" s="9"/>
      <c r="AR469" s="2"/>
      <c r="AS469" s="31"/>
    </row>
    <row r="470" spans="1:45">
      <c r="A470" s="13">
        <v>31352</v>
      </c>
      <c r="B470" s="3">
        <v>54.770600000000002</v>
      </c>
      <c r="C470" s="24">
        <v>108007</v>
      </c>
      <c r="D470" s="24">
        <v>98419</v>
      </c>
      <c r="E470" s="2">
        <v>7</v>
      </c>
      <c r="F470" s="33">
        <v>7.1887000000000006E-2</v>
      </c>
      <c r="G470" s="33">
        <v>6.5061999999999995E-2</v>
      </c>
      <c r="H470" s="25">
        <v>10.55</v>
      </c>
      <c r="I470" s="25">
        <v>11.99</v>
      </c>
      <c r="J470" s="25">
        <v>8.0500000000000007</v>
      </c>
      <c r="K470" s="25">
        <v>8.02</v>
      </c>
      <c r="L470" s="25">
        <v>7.24</v>
      </c>
      <c r="M470" s="33">
        <v>84.7</v>
      </c>
      <c r="N470">
        <v>0.74314999999999998</v>
      </c>
      <c r="O470" s="31">
        <v>234.5</v>
      </c>
      <c r="P470" s="38">
        <v>118.373</v>
      </c>
      <c r="Q470" s="22">
        <v>2.0798260289999999E-2</v>
      </c>
      <c r="R470" s="38">
        <v>0.29051700000000003</v>
      </c>
      <c r="T470" s="2"/>
      <c r="U470" s="2"/>
      <c r="V470" s="24"/>
      <c r="W470" s="24"/>
      <c r="X470" s="24"/>
      <c r="Y470" s="24"/>
      <c r="Z470" s="24"/>
      <c r="AA470" s="24"/>
      <c r="AB470" s="24"/>
      <c r="AC470" s="25"/>
      <c r="AD470" s="25"/>
      <c r="AE470" s="25"/>
      <c r="AF470" s="25"/>
      <c r="AG470" s="25"/>
      <c r="AH470" s="16"/>
      <c r="AI470" s="25"/>
      <c r="AJ470" s="25"/>
      <c r="AL470" s="3"/>
      <c r="AM470" s="22"/>
      <c r="AN470" s="9"/>
      <c r="AO470" s="9"/>
      <c r="AP470" s="9"/>
      <c r="AQ470" s="9"/>
      <c r="AR470" s="2"/>
      <c r="AS470" s="31"/>
    </row>
    <row r="471" spans="1:45">
      <c r="A471" s="13">
        <v>31382</v>
      </c>
      <c r="B471" s="3">
        <v>55.334400000000002</v>
      </c>
      <c r="C471" s="24">
        <v>108216</v>
      </c>
      <c r="D471" s="24">
        <v>98587</v>
      </c>
      <c r="E471" s="2">
        <v>7</v>
      </c>
      <c r="F471" s="33">
        <v>4.8155999999999997E-2</v>
      </c>
      <c r="G471" s="33">
        <v>4.5060999999999997E-2</v>
      </c>
      <c r="H471" s="25">
        <v>10.16</v>
      </c>
      <c r="I471" s="25">
        <v>11.58</v>
      </c>
      <c r="J471" s="25">
        <v>8.27</v>
      </c>
      <c r="K471" s="25">
        <v>7.99</v>
      </c>
      <c r="L471" s="25">
        <v>7.1</v>
      </c>
      <c r="M471" s="33">
        <v>85.1</v>
      </c>
      <c r="N471">
        <v>1.1774</v>
      </c>
      <c r="O471" s="31">
        <v>235</v>
      </c>
      <c r="P471" s="38">
        <v>155.1867</v>
      </c>
      <c r="Q471" s="22">
        <v>-6.9444000987000001E-2</v>
      </c>
      <c r="R471" s="38">
        <v>3.2972000000000001E-2</v>
      </c>
      <c r="T471" s="2"/>
      <c r="U471" s="2"/>
      <c r="V471" s="24"/>
      <c r="W471" s="24"/>
      <c r="X471" s="24"/>
      <c r="Y471" s="24"/>
      <c r="Z471" s="24"/>
      <c r="AA471" s="24"/>
      <c r="AB471" s="24"/>
      <c r="AC471" s="25"/>
      <c r="AD471" s="25"/>
      <c r="AE471" s="25"/>
      <c r="AF471" s="25"/>
      <c r="AG471" s="25"/>
      <c r="AH471" s="16"/>
      <c r="AI471" s="25"/>
      <c r="AJ471" s="25"/>
      <c r="AL471" s="3"/>
      <c r="AM471" s="22"/>
      <c r="AN471" s="9"/>
      <c r="AO471" s="9"/>
      <c r="AP471" s="9"/>
      <c r="AQ471" s="9"/>
      <c r="AR471" s="2"/>
      <c r="AS471" s="31"/>
    </row>
    <row r="472" spans="1:45">
      <c r="A472" s="13">
        <v>31413</v>
      </c>
      <c r="B472" s="3">
        <v>55.605800000000002</v>
      </c>
      <c r="C472" s="24">
        <v>108887</v>
      </c>
      <c r="D472" s="24">
        <v>98710</v>
      </c>
      <c r="E472" s="2">
        <v>6.7</v>
      </c>
      <c r="F472" s="33">
        <v>4.7060000000000001E-3</v>
      </c>
      <c r="G472" s="33">
        <v>2.3670000000000002E-3</v>
      </c>
      <c r="H472" s="25">
        <v>10.050000000000001</v>
      </c>
      <c r="I472" s="25">
        <v>11.44</v>
      </c>
      <c r="J472" s="25">
        <v>8.14</v>
      </c>
      <c r="K472" s="25">
        <v>8.02</v>
      </c>
      <c r="L472" s="25">
        <v>7.07</v>
      </c>
      <c r="M472" s="33">
        <v>84.3</v>
      </c>
      <c r="N472">
        <v>-0.48620999999999998</v>
      </c>
      <c r="O472" s="31">
        <v>236.9</v>
      </c>
      <c r="P472" s="38">
        <v>161.73169999999999</v>
      </c>
      <c r="Q472" s="22">
        <v>0</v>
      </c>
      <c r="R472" s="38">
        <v>0.33935700000000002</v>
      </c>
      <c r="T472" s="2"/>
      <c r="U472" s="2"/>
      <c r="V472" s="24"/>
      <c r="W472" s="24"/>
      <c r="X472" s="24"/>
      <c r="Y472" s="24"/>
      <c r="Z472" s="24"/>
      <c r="AA472" s="24"/>
      <c r="AB472" s="24"/>
      <c r="AC472" s="25"/>
      <c r="AD472" s="25"/>
      <c r="AE472" s="25"/>
      <c r="AF472" s="25"/>
      <c r="AG472" s="25"/>
      <c r="AH472" s="16"/>
      <c r="AI472" s="25"/>
      <c r="AJ472" s="25"/>
      <c r="AL472" s="3"/>
      <c r="AM472" s="22"/>
      <c r="AN472" s="9"/>
      <c r="AO472" s="9"/>
      <c r="AP472" s="9"/>
      <c r="AQ472" s="9"/>
      <c r="AR472" s="2"/>
      <c r="AS472" s="31"/>
    </row>
    <row r="473" spans="1:45">
      <c r="A473" s="13">
        <v>31444</v>
      </c>
      <c r="B473" s="3">
        <v>55.1999</v>
      </c>
      <c r="C473" s="24">
        <v>108480</v>
      </c>
      <c r="D473" s="24">
        <v>98817</v>
      </c>
      <c r="E473" s="2">
        <v>7.2</v>
      </c>
      <c r="F473" s="33">
        <v>7.6524999999999996E-2</v>
      </c>
      <c r="G473" s="33">
        <v>7.1488999999999997E-2</v>
      </c>
      <c r="H473" s="25">
        <v>9.67</v>
      </c>
      <c r="I473" s="25">
        <v>11.11</v>
      </c>
      <c r="J473" s="25">
        <v>7.86</v>
      </c>
      <c r="K473" s="25">
        <v>7.89</v>
      </c>
      <c r="L473" s="25">
        <v>7.06</v>
      </c>
      <c r="M473" s="33">
        <v>66.7</v>
      </c>
      <c r="N473">
        <v>-2.0589</v>
      </c>
      <c r="O473" s="31">
        <v>233.3</v>
      </c>
      <c r="P473" s="38">
        <v>146.87520000000001</v>
      </c>
      <c r="Q473" s="22">
        <v>-0.109958119439</v>
      </c>
      <c r="R473" s="38">
        <v>-0.28550399999999998</v>
      </c>
      <c r="T473" s="2"/>
      <c r="U473" s="2"/>
      <c r="V473" s="24"/>
      <c r="W473" s="24"/>
      <c r="X473" s="24"/>
      <c r="Y473" s="24"/>
      <c r="Z473" s="24"/>
      <c r="AA473" s="24"/>
      <c r="AB473" s="24"/>
      <c r="AC473" s="25"/>
      <c r="AD473" s="25"/>
      <c r="AE473" s="25"/>
      <c r="AF473" s="25"/>
      <c r="AG473" s="25"/>
      <c r="AH473" s="16"/>
      <c r="AI473" s="25"/>
      <c r="AJ473" s="25"/>
      <c r="AL473" s="3"/>
      <c r="AM473" s="22"/>
      <c r="AN473" s="9"/>
      <c r="AO473" s="9"/>
      <c r="AP473" s="9"/>
      <c r="AQ473" s="9"/>
      <c r="AR473" s="2"/>
      <c r="AS473" s="31"/>
    </row>
    <row r="474" spans="1:45">
      <c r="A474" s="13">
        <v>31472</v>
      </c>
      <c r="B474" s="3">
        <v>54.852499999999999</v>
      </c>
      <c r="C474" s="24">
        <v>108837</v>
      </c>
      <c r="D474" s="24">
        <v>98910</v>
      </c>
      <c r="E474" s="2">
        <v>7.2</v>
      </c>
      <c r="F474" s="33">
        <v>5.5832E-2</v>
      </c>
      <c r="G474" s="33">
        <v>5.2794000000000001E-2</v>
      </c>
      <c r="H474" s="25">
        <v>9</v>
      </c>
      <c r="I474" s="25">
        <v>10.5</v>
      </c>
      <c r="J474" s="25">
        <v>7.48</v>
      </c>
      <c r="K474" s="25">
        <v>7.42</v>
      </c>
      <c r="L474" s="25">
        <v>6.56</v>
      </c>
      <c r="M474" s="33">
        <v>48.2</v>
      </c>
      <c r="N474">
        <v>-1.7481</v>
      </c>
      <c r="O474" s="31">
        <v>223.1</v>
      </c>
      <c r="P474" s="38">
        <v>143.10650000000001</v>
      </c>
      <c r="Q474" s="22">
        <v>0</v>
      </c>
      <c r="R474" s="38">
        <v>0.58737799999999996</v>
      </c>
      <c r="T474" s="2"/>
      <c r="U474" s="2"/>
      <c r="V474" s="24"/>
      <c r="W474" s="24"/>
      <c r="X474" s="24"/>
      <c r="Y474" s="24"/>
      <c r="Z474" s="24"/>
      <c r="AA474" s="24"/>
      <c r="AB474" s="24"/>
      <c r="AC474" s="25"/>
      <c r="AD474" s="25"/>
      <c r="AE474" s="25"/>
      <c r="AF474" s="25"/>
      <c r="AG474" s="25"/>
      <c r="AH474" s="16"/>
      <c r="AI474" s="25"/>
      <c r="AJ474" s="25"/>
      <c r="AL474" s="3"/>
      <c r="AM474" s="22"/>
      <c r="AN474" s="9"/>
      <c r="AO474" s="9"/>
      <c r="AP474" s="9"/>
      <c r="AQ474" s="9"/>
      <c r="AR474" s="2"/>
      <c r="AS474" s="31"/>
    </row>
    <row r="475" spans="1:45">
      <c r="A475" s="13">
        <v>31503</v>
      </c>
      <c r="B475" s="3">
        <v>54.890099999999997</v>
      </c>
      <c r="C475" s="24">
        <v>108952</v>
      </c>
      <c r="D475" s="24">
        <v>99098</v>
      </c>
      <c r="E475" s="2">
        <v>7.1</v>
      </c>
      <c r="F475" s="33">
        <v>-1.3343000000000001E-2</v>
      </c>
      <c r="G475" s="33">
        <v>-1.4148000000000001E-2</v>
      </c>
      <c r="H475" s="25">
        <v>8.7899999999999991</v>
      </c>
      <c r="I475" s="25">
        <v>10.19</v>
      </c>
      <c r="J475" s="25">
        <v>6.99</v>
      </c>
      <c r="K475" s="25">
        <v>6.8</v>
      </c>
      <c r="L475" s="25">
        <v>6.06</v>
      </c>
      <c r="M475" s="33">
        <v>41</v>
      </c>
      <c r="N475">
        <v>-1.4565999999999999</v>
      </c>
      <c r="O475" s="31">
        <v>219.9</v>
      </c>
      <c r="P475" s="38">
        <v>113.098</v>
      </c>
      <c r="Q475" s="22">
        <v>0.20671638496200001</v>
      </c>
      <c r="R475" s="38">
        <v>0.54605999999999999</v>
      </c>
      <c r="T475" s="2"/>
      <c r="U475" s="2"/>
      <c r="V475" s="24"/>
      <c r="W475" s="24"/>
      <c r="X475" s="24"/>
      <c r="Y475" s="24"/>
      <c r="Z475" s="24"/>
      <c r="AA475" s="24"/>
      <c r="AB475" s="24"/>
      <c r="AC475" s="25"/>
      <c r="AD475" s="25"/>
      <c r="AE475" s="25"/>
      <c r="AF475" s="25"/>
      <c r="AG475" s="25"/>
      <c r="AH475" s="16"/>
      <c r="AI475" s="25"/>
      <c r="AJ475" s="25"/>
      <c r="AL475" s="3"/>
      <c r="AM475" s="22"/>
      <c r="AN475" s="9"/>
      <c r="AO475" s="9"/>
      <c r="AP475" s="9"/>
      <c r="AQ475" s="9"/>
      <c r="AR475" s="2"/>
      <c r="AS475" s="31"/>
    </row>
    <row r="476" spans="1:45">
      <c r="A476" s="13">
        <v>31533</v>
      </c>
      <c r="B476" s="3">
        <v>54.9861</v>
      </c>
      <c r="C476" s="24">
        <v>109089</v>
      </c>
      <c r="D476" s="24">
        <v>99223</v>
      </c>
      <c r="E476" s="2">
        <v>7.2</v>
      </c>
      <c r="F476" s="33">
        <v>5.5326E-2</v>
      </c>
      <c r="G476" s="33">
        <v>5.0229000000000003E-2</v>
      </c>
      <c r="H476" s="25">
        <v>9.09</v>
      </c>
      <c r="I476" s="25">
        <v>10.29</v>
      </c>
      <c r="J476" s="25">
        <v>6.85</v>
      </c>
      <c r="K476" s="25">
        <v>6.86</v>
      </c>
      <c r="L476" s="25">
        <v>6.15</v>
      </c>
      <c r="M476" s="33">
        <v>40</v>
      </c>
      <c r="N476">
        <v>0.67913000000000001</v>
      </c>
      <c r="O476" s="31">
        <v>221.3</v>
      </c>
      <c r="P476" s="38">
        <v>138.91319999999999</v>
      </c>
      <c r="Q476" s="22">
        <v>7.5904953245000004E-2</v>
      </c>
      <c r="R476" s="38">
        <v>2.8514999999999999E-2</v>
      </c>
      <c r="T476" s="2"/>
      <c r="U476" s="2"/>
      <c r="V476" s="24"/>
      <c r="W476" s="24"/>
      <c r="X476" s="24"/>
      <c r="Y476" s="24"/>
      <c r="Z476" s="24"/>
      <c r="AA476" s="24"/>
      <c r="AB476" s="24"/>
      <c r="AC476" s="25"/>
      <c r="AD476" s="25"/>
      <c r="AE476" s="25"/>
      <c r="AF476" s="25"/>
      <c r="AG476" s="25"/>
      <c r="AH476" s="16"/>
      <c r="AI476" s="25"/>
      <c r="AJ476" s="25"/>
      <c r="AL476" s="3"/>
      <c r="AM476" s="22"/>
      <c r="AN476" s="9"/>
      <c r="AO476" s="9"/>
      <c r="AP476" s="9"/>
      <c r="AQ476" s="9"/>
      <c r="AR476" s="2"/>
      <c r="AS476" s="31"/>
    </row>
    <row r="477" spans="1:45">
      <c r="A477" s="13">
        <v>31564</v>
      </c>
      <c r="B477" s="3">
        <v>54.8093</v>
      </c>
      <c r="C477" s="24">
        <v>109576</v>
      </c>
      <c r="D477" s="24">
        <v>99130</v>
      </c>
      <c r="E477" s="2">
        <v>7.2</v>
      </c>
      <c r="F477" s="33">
        <v>1.5744000000000001E-2</v>
      </c>
      <c r="G477" s="33">
        <v>1.4109999999999999E-2</v>
      </c>
      <c r="H477" s="25">
        <v>9.1300000000000008</v>
      </c>
      <c r="I477" s="25">
        <v>10.34</v>
      </c>
      <c r="J477" s="25">
        <v>6.92</v>
      </c>
      <c r="K477" s="25">
        <v>6.95</v>
      </c>
      <c r="L477" s="25">
        <v>6.21</v>
      </c>
      <c r="M477" s="33">
        <v>41</v>
      </c>
      <c r="N477">
        <v>2.0727000000000002</v>
      </c>
      <c r="O477" s="31">
        <v>225</v>
      </c>
      <c r="P477" s="38">
        <v>145.98439999999999</v>
      </c>
      <c r="Q477" s="22">
        <v>0</v>
      </c>
      <c r="R477" s="38">
        <v>2.0235E-2</v>
      </c>
      <c r="T477" s="2"/>
      <c r="U477" s="2"/>
      <c r="V477" s="24"/>
      <c r="W477" s="24"/>
      <c r="X477" s="24"/>
      <c r="Y477" s="24"/>
      <c r="Z477" s="24"/>
      <c r="AA477" s="24"/>
      <c r="AB477" s="24"/>
      <c r="AC477" s="25"/>
      <c r="AD477" s="25"/>
      <c r="AE477" s="25"/>
      <c r="AF477" s="25"/>
      <c r="AG477" s="25"/>
      <c r="AH477" s="16"/>
      <c r="AI477" s="25"/>
      <c r="AJ477" s="25"/>
      <c r="AL477" s="3"/>
      <c r="AM477" s="22"/>
      <c r="AN477" s="9"/>
      <c r="AO477" s="9"/>
      <c r="AP477" s="9"/>
      <c r="AQ477" s="9"/>
      <c r="AR477" s="2"/>
      <c r="AS477" s="31"/>
    </row>
    <row r="478" spans="1:45">
      <c r="A478" s="13">
        <v>31594</v>
      </c>
      <c r="B478" s="3">
        <v>55.1631</v>
      </c>
      <c r="C478" s="24">
        <v>109810</v>
      </c>
      <c r="D478" s="24">
        <v>99448</v>
      </c>
      <c r="E478" s="2">
        <v>7</v>
      </c>
      <c r="F478" s="33">
        <v>-5.7541000000000002E-2</v>
      </c>
      <c r="G478" s="33">
        <v>-5.8682999999999999E-2</v>
      </c>
      <c r="H478" s="25">
        <v>8.8800000000000008</v>
      </c>
      <c r="I478" s="25">
        <v>10.16</v>
      </c>
      <c r="J478" s="25">
        <v>6.56</v>
      </c>
      <c r="K478" s="25">
        <v>6.54</v>
      </c>
      <c r="L478" s="25">
        <v>5.83</v>
      </c>
      <c r="M478" s="33">
        <v>37.200000000000003</v>
      </c>
      <c r="N478">
        <v>-1.9399</v>
      </c>
      <c r="O478" s="31">
        <v>227.6</v>
      </c>
      <c r="P478" s="38">
        <v>124.0616</v>
      </c>
      <c r="Q478" s="22">
        <v>-0.16781003690099999</v>
      </c>
      <c r="R478" s="38">
        <v>0.77552500000000002</v>
      </c>
      <c r="T478" s="2"/>
      <c r="U478" s="2"/>
      <c r="V478" s="24"/>
      <c r="W478" s="24"/>
      <c r="X478" s="24"/>
      <c r="Y478" s="24"/>
      <c r="Z478" s="24"/>
      <c r="AA478" s="24"/>
      <c r="AB478" s="24"/>
      <c r="AC478" s="25"/>
      <c r="AD478" s="25"/>
      <c r="AE478" s="25"/>
      <c r="AF478" s="25"/>
      <c r="AG478" s="25"/>
      <c r="AH478" s="16"/>
      <c r="AI478" s="25"/>
      <c r="AJ478" s="25"/>
      <c r="AL478" s="3"/>
      <c r="AM478" s="22"/>
      <c r="AN478" s="9"/>
      <c r="AO478" s="9"/>
      <c r="AP478" s="9"/>
      <c r="AQ478" s="9"/>
      <c r="AR478" s="2"/>
      <c r="AS478" s="31"/>
    </row>
    <row r="479" spans="1:45">
      <c r="A479" s="13">
        <v>31625</v>
      </c>
      <c r="B479" s="3">
        <v>55.044199999999996</v>
      </c>
      <c r="C479" s="24">
        <v>110015</v>
      </c>
      <c r="D479" s="24">
        <v>99561</v>
      </c>
      <c r="E479" s="2">
        <v>6.9</v>
      </c>
      <c r="F479" s="33">
        <v>7.4416999999999997E-2</v>
      </c>
      <c r="G479" s="33">
        <v>7.1193000000000006E-2</v>
      </c>
      <c r="H479" s="25">
        <v>8.7200000000000006</v>
      </c>
      <c r="I479" s="25">
        <v>10.18</v>
      </c>
      <c r="J479" s="25">
        <v>6.17</v>
      </c>
      <c r="K479" s="25">
        <v>6.06</v>
      </c>
      <c r="L479" s="25">
        <v>5.53</v>
      </c>
      <c r="M479" s="33">
        <v>36</v>
      </c>
      <c r="N479">
        <v>-2.3090000000000002</v>
      </c>
      <c r="O479" s="31">
        <v>212</v>
      </c>
      <c r="P479" s="38">
        <v>126.2697</v>
      </c>
      <c r="Q479" s="22">
        <v>-0.23404964794200001</v>
      </c>
      <c r="R479" s="38">
        <v>0.71037700000000004</v>
      </c>
      <c r="T479" s="2"/>
      <c r="U479" s="2"/>
      <c r="V479" s="24"/>
      <c r="W479" s="24"/>
      <c r="X479" s="24"/>
      <c r="Y479" s="24"/>
      <c r="Z479" s="24"/>
      <c r="AA479" s="24"/>
      <c r="AB479" s="24"/>
      <c r="AC479" s="25"/>
      <c r="AD479" s="25"/>
      <c r="AE479" s="25"/>
      <c r="AF479" s="25"/>
      <c r="AG479" s="25"/>
      <c r="AH479" s="16"/>
      <c r="AI479" s="25"/>
      <c r="AJ479" s="25"/>
      <c r="AL479" s="3"/>
      <c r="AM479" s="22"/>
      <c r="AN479" s="9"/>
      <c r="AO479" s="9"/>
      <c r="AP479" s="9"/>
      <c r="AQ479" s="9"/>
      <c r="AR479" s="2"/>
      <c r="AS479" s="31"/>
    </row>
    <row r="480" spans="1:45">
      <c r="A480" s="13">
        <v>31656</v>
      </c>
      <c r="B480" s="3">
        <v>55.139800000000001</v>
      </c>
      <c r="C480" s="24">
        <v>110085</v>
      </c>
      <c r="D480" s="24">
        <v>99907</v>
      </c>
      <c r="E480" s="2">
        <v>7</v>
      </c>
      <c r="F480" s="33">
        <v>-8.3242999999999998E-2</v>
      </c>
      <c r="G480" s="33">
        <v>-8.5439000000000001E-2</v>
      </c>
      <c r="H480" s="25">
        <v>8.89</v>
      </c>
      <c r="I480" s="25">
        <v>10.199999999999999</v>
      </c>
      <c r="J480" s="25">
        <v>5.89</v>
      </c>
      <c r="K480" s="25">
        <v>5.88</v>
      </c>
      <c r="L480" s="25">
        <v>5.21</v>
      </c>
      <c r="M480" s="33">
        <v>42.5</v>
      </c>
      <c r="N480">
        <v>-1.1860999999999999</v>
      </c>
      <c r="O480" s="31">
        <v>221.2</v>
      </c>
      <c r="P480" s="38">
        <v>143.35400000000001</v>
      </c>
      <c r="Q480" s="22">
        <v>1.469667065E-3</v>
      </c>
      <c r="R480" s="38">
        <v>0.31453799999999998</v>
      </c>
      <c r="T480" s="2"/>
      <c r="U480" s="2"/>
      <c r="V480" s="24"/>
      <c r="W480" s="24"/>
      <c r="X480" s="24"/>
      <c r="Y480" s="24"/>
      <c r="Z480" s="24"/>
      <c r="AA480" s="24"/>
      <c r="AB480" s="24"/>
      <c r="AC480" s="25"/>
      <c r="AD480" s="25"/>
      <c r="AE480" s="25"/>
      <c r="AF480" s="25"/>
      <c r="AG480" s="25"/>
      <c r="AH480" s="16"/>
      <c r="AI480" s="25"/>
      <c r="AJ480" s="25"/>
      <c r="AL480" s="3"/>
      <c r="AM480" s="22"/>
      <c r="AN480" s="9"/>
      <c r="AO480" s="9"/>
      <c r="AP480" s="9"/>
      <c r="AQ480" s="9"/>
      <c r="AR480" s="2"/>
      <c r="AS480" s="31"/>
    </row>
    <row r="481" spans="1:45">
      <c r="A481" s="13">
        <v>31686</v>
      </c>
      <c r="B481" s="3">
        <v>55.3932</v>
      </c>
      <c r="C481" s="24">
        <v>110273</v>
      </c>
      <c r="D481" s="24">
        <v>100094</v>
      </c>
      <c r="E481" s="2">
        <v>7</v>
      </c>
      <c r="F481" s="33">
        <v>5.6537999999999998E-2</v>
      </c>
      <c r="G481" s="33">
        <v>5.4729E-2</v>
      </c>
      <c r="H481" s="25">
        <v>8.86</v>
      </c>
      <c r="I481" s="25">
        <v>10.24</v>
      </c>
      <c r="J481" s="25">
        <v>5.85</v>
      </c>
      <c r="K481" s="25">
        <v>5.88</v>
      </c>
      <c r="L481" s="25">
        <v>5.18</v>
      </c>
      <c r="M481" s="33">
        <v>42.1</v>
      </c>
      <c r="N481">
        <v>-0.28173999999999999</v>
      </c>
      <c r="O481" s="31">
        <v>235.5</v>
      </c>
      <c r="P481" s="38">
        <v>126.34650000000001</v>
      </c>
      <c r="Q481" s="22">
        <v>0</v>
      </c>
      <c r="R481" s="38">
        <v>0.54729300000000003</v>
      </c>
      <c r="T481" s="2"/>
      <c r="U481" s="2"/>
      <c r="V481" s="24"/>
      <c r="W481" s="24"/>
      <c r="X481" s="24"/>
      <c r="Y481" s="24"/>
      <c r="Z481" s="24"/>
      <c r="AA481" s="24"/>
      <c r="AB481" s="24"/>
      <c r="AC481" s="25"/>
      <c r="AD481" s="25"/>
      <c r="AE481" s="25"/>
      <c r="AF481" s="25"/>
      <c r="AG481" s="25"/>
      <c r="AH481" s="16"/>
      <c r="AI481" s="25"/>
      <c r="AJ481" s="25"/>
      <c r="AL481" s="3"/>
      <c r="AM481" s="22"/>
      <c r="AN481" s="9"/>
      <c r="AO481" s="9"/>
      <c r="AP481" s="9"/>
      <c r="AQ481" s="9"/>
      <c r="AR481" s="2"/>
      <c r="AS481" s="31"/>
    </row>
    <row r="482" spans="1:45">
      <c r="A482" s="13">
        <v>31717</v>
      </c>
      <c r="B482" s="3">
        <v>55.6496</v>
      </c>
      <c r="C482" s="24">
        <v>110475</v>
      </c>
      <c r="D482" s="24">
        <v>100280</v>
      </c>
      <c r="E482" s="2">
        <v>6.9</v>
      </c>
      <c r="F482" s="33">
        <v>2.4875999999999999E-2</v>
      </c>
      <c r="G482" s="33">
        <v>2.1477E-2</v>
      </c>
      <c r="H482" s="25">
        <v>8.68</v>
      </c>
      <c r="I482" s="25">
        <v>10.07</v>
      </c>
      <c r="J482" s="25">
        <v>6.04</v>
      </c>
      <c r="K482" s="25">
        <v>5.96</v>
      </c>
      <c r="L482" s="25">
        <v>5.35</v>
      </c>
      <c r="M482" s="33">
        <v>41.9</v>
      </c>
      <c r="N482">
        <v>1.1773</v>
      </c>
      <c r="O482" s="31">
        <v>243.7</v>
      </c>
      <c r="P482" s="38">
        <v>134.5153</v>
      </c>
      <c r="Q482" s="22">
        <v>2.1131312778000001E-2</v>
      </c>
      <c r="R482" s="38">
        <v>0.672539</v>
      </c>
      <c r="T482" s="2"/>
      <c r="U482" s="2"/>
      <c r="V482" s="24"/>
      <c r="W482" s="24"/>
      <c r="X482" s="24"/>
      <c r="Y482" s="24"/>
      <c r="Z482" s="24"/>
      <c r="AA482" s="24"/>
      <c r="AB482" s="24"/>
      <c r="AC482" s="25"/>
      <c r="AD482" s="25"/>
      <c r="AE482" s="25"/>
      <c r="AF482" s="25"/>
      <c r="AG482" s="25"/>
      <c r="AH482" s="16"/>
      <c r="AI482" s="25"/>
      <c r="AJ482" s="25"/>
      <c r="AL482" s="3"/>
      <c r="AM482" s="22"/>
      <c r="AN482" s="9"/>
      <c r="AO482" s="9"/>
      <c r="AP482" s="9"/>
      <c r="AQ482" s="9"/>
      <c r="AR482" s="2"/>
      <c r="AS482" s="31"/>
    </row>
    <row r="483" spans="1:45">
      <c r="A483" s="13">
        <v>31747</v>
      </c>
      <c r="B483" s="3">
        <v>56.136499999999998</v>
      </c>
      <c r="C483" s="24">
        <v>110728</v>
      </c>
      <c r="D483" s="24">
        <v>100484</v>
      </c>
      <c r="E483" s="2">
        <v>6.6</v>
      </c>
      <c r="F483" s="33">
        <v>-2.7512999999999999E-2</v>
      </c>
      <c r="G483" s="33">
        <v>-2.8288000000000001E-2</v>
      </c>
      <c r="H483" s="25">
        <v>8.49</v>
      </c>
      <c r="I483" s="25">
        <v>9.9700000000000006</v>
      </c>
      <c r="J483" s="25">
        <v>6.91</v>
      </c>
      <c r="K483" s="25">
        <v>6.23</v>
      </c>
      <c r="L483" s="25">
        <v>5.53</v>
      </c>
      <c r="M483" s="33">
        <v>42</v>
      </c>
      <c r="N483">
        <v>4.0769000000000002</v>
      </c>
      <c r="O483" s="31">
        <v>247.5</v>
      </c>
      <c r="P483" s="38">
        <v>117.1936</v>
      </c>
      <c r="Q483" s="22">
        <v>-8.1787983916999998E-2</v>
      </c>
      <c r="R483" s="38">
        <v>0.70328900000000005</v>
      </c>
      <c r="T483" s="2"/>
      <c r="U483" s="2"/>
      <c r="V483" s="24"/>
      <c r="W483" s="24"/>
      <c r="X483" s="24"/>
      <c r="Y483" s="24"/>
      <c r="Z483" s="24"/>
      <c r="AA483" s="24"/>
      <c r="AB483" s="24"/>
      <c r="AC483" s="25"/>
      <c r="AD483" s="25"/>
      <c r="AE483" s="25"/>
      <c r="AF483" s="25"/>
      <c r="AG483" s="25"/>
      <c r="AH483" s="16"/>
      <c r="AI483" s="25"/>
      <c r="AJ483" s="25"/>
      <c r="AL483" s="3"/>
      <c r="AM483" s="22"/>
      <c r="AN483" s="9"/>
      <c r="AO483" s="9"/>
      <c r="AP483" s="9"/>
      <c r="AQ483" s="9"/>
      <c r="AR483" s="2"/>
      <c r="AS483" s="31"/>
    </row>
    <row r="484" spans="1:45">
      <c r="A484" s="13">
        <v>31778</v>
      </c>
      <c r="B484" s="3">
        <v>55.954700000000003</v>
      </c>
      <c r="C484" s="24">
        <v>110953</v>
      </c>
      <c r="D484" s="24">
        <v>100655</v>
      </c>
      <c r="E484" s="2">
        <v>6.6</v>
      </c>
      <c r="F484" s="33">
        <v>0.135183</v>
      </c>
      <c r="G484" s="33">
        <v>0.131767</v>
      </c>
      <c r="H484" s="25">
        <v>8.36</v>
      </c>
      <c r="I484" s="25">
        <v>9.7200000000000006</v>
      </c>
      <c r="J484" s="25">
        <v>6.43</v>
      </c>
      <c r="K484" s="25">
        <v>6.1</v>
      </c>
      <c r="L484" s="25">
        <v>5.43</v>
      </c>
      <c r="M484" s="33">
        <v>50.4</v>
      </c>
      <c r="N484">
        <v>-4.6746999999999996</v>
      </c>
      <c r="O484" s="31">
        <v>252.8</v>
      </c>
      <c r="P484" s="38">
        <v>127.9254</v>
      </c>
      <c r="Q484" s="22">
        <v>0</v>
      </c>
      <c r="R484" s="38">
        <v>0.55816600000000005</v>
      </c>
      <c r="T484" s="2"/>
      <c r="U484" s="2"/>
      <c r="V484" s="24"/>
      <c r="W484" s="24"/>
      <c r="X484" s="24"/>
      <c r="Y484" s="24"/>
      <c r="Z484" s="24"/>
      <c r="AA484" s="24"/>
      <c r="AB484" s="24"/>
      <c r="AC484" s="25"/>
      <c r="AD484" s="25"/>
      <c r="AE484" s="25"/>
      <c r="AF484" s="25"/>
      <c r="AG484" s="25"/>
      <c r="AH484" s="16"/>
      <c r="AI484" s="25"/>
      <c r="AJ484" s="25"/>
      <c r="AL484" s="3"/>
      <c r="AM484" s="22"/>
      <c r="AN484" s="9"/>
      <c r="AO484" s="9"/>
      <c r="AP484" s="9"/>
      <c r="AQ484" s="9"/>
      <c r="AR484" s="2"/>
      <c r="AS484" s="31"/>
    </row>
    <row r="485" spans="1:45">
      <c r="A485" s="13">
        <v>31809</v>
      </c>
      <c r="B485" s="3">
        <v>56.677999999999997</v>
      </c>
      <c r="C485" s="24">
        <v>111257</v>
      </c>
      <c r="D485" s="24">
        <v>100887</v>
      </c>
      <c r="E485" s="2">
        <v>6.6</v>
      </c>
      <c r="F485" s="33">
        <v>4.1778000000000003E-2</v>
      </c>
      <c r="G485" s="33">
        <v>3.6923999999999998E-2</v>
      </c>
      <c r="H485" s="25">
        <v>8.3800000000000008</v>
      </c>
      <c r="I485" s="25">
        <v>9.65</v>
      </c>
      <c r="J485" s="25">
        <v>6.1</v>
      </c>
      <c r="K485" s="25">
        <v>6.32</v>
      </c>
      <c r="L485" s="25">
        <v>5.59</v>
      </c>
      <c r="M485" s="33">
        <v>52.4</v>
      </c>
      <c r="N485">
        <v>-2.9270999999999998</v>
      </c>
      <c r="O485" s="31">
        <v>247.2</v>
      </c>
      <c r="P485" s="38">
        <v>144.1105</v>
      </c>
      <c r="Q485" s="22">
        <v>0.175747037306</v>
      </c>
      <c r="R485" s="38">
        <v>0.63431300000000002</v>
      </c>
      <c r="T485" s="2"/>
      <c r="U485" s="2"/>
      <c r="V485" s="24"/>
      <c r="W485" s="24"/>
      <c r="X485" s="24"/>
      <c r="Y485" s="24"/>
      <c r="Z485" s="24"/>
      <c r="AA485" s="24"/>
      <c r="AB485" s="24"/>
      <c r="AC485" s="25"/>
      <c r="AD485" s="25"/>
      <c r="AE485" s="25"/>
      <c r="AF485" s="25"/>
      <c r="AG485" s="25"/>
      <c r="AH485" s="16"/>
      <c r="AI485" s="25"/>
      <c r="AJ485" s="25"/>
      <c r="AL485" s="3"/>
      <c r="AM485" s="22"/>
      <c r="AN485" s="9"/>
      <c r="AO485" s="9"/>
      <c r="AP485" s="9"/>
      <c r="AQ485" s="9"/>
      <c r="AR485" s="2"/>
      <c r="AS485" s="31"/>
    </row>
    <row r="486" spans="1:45">
      <c r="A486" s="13">
        <v>31837</v>
      </c>
      <c r="B486" s="3">
        <v>56.7669</v>
      </c>
      <c r="C486" s="24">
        <v>111408</v>
      </c>
      <c r="D486" s="24">
        <v>101136</v>
      </c>
      <c r="E486" s="2">
        <v>6.6</v>
      </c>
      <c r="F486" s="33">
        <v>2.6335999999999998E-2</v>
      </c>
      <c r="G486" s="33">
        <v>2.639E-2</v>
      </c>
      <c r="H486" s="25">
        <v>8.36</v>
      </c>
      <c r="I486" s="25">
        <v>9.61</v>
      </c>
      <c r="J486" s="25">
        <v>6.13</v>
      </c>
      <c r="K486" s="25">
        <v>6.37</v>
      </c>
      <c r="L486" s="25">
        <v>5.59</v>
      </c>
      <c r="M486" s="33">
        <v>52.3</v>
      </c>
      <c r="N486">
        <v>-0.69940999999999998</v>
      </c>
      <c r="O486" s="31">
        <v>246.3</v>
      </c>
      <c r="P486" s="38">
        <v>124.1867</v>
      </c>
      <c r="Q486" s="22">
        <v>0.19110594980000001</v>
      </c>
      <c r="R486" s="38">
        <v>0.52196200000000004</v>
      </c>
      <c r="T486" s="2"/>
      <c r="U486" s="2"/>
      <c r="V486" s="24"/>
      <c r="W486" s="24"/>
      <c r="X486" s="24"/>
      <c r="Y486" s="24"/>
      <c r="Z486" s="24"/>
      <c r="AA486" s="24"/>
      <c r="AB486" s="24"/>
      <c r="AC486" s="25"/>
      <c r="AD486" s="25"/>
      <c r="AE486" s="25"/>
      <c r="AF486" s="25"/>
      <c r="AG486" s="25"/>
      <c r="AH486" s="16"/>
      <c r="AI486" s="25"/>
      <c r="AJ486" s="25"/>
      <c r="AL486" s="3"/>
      <c r="AM486" s="22"/>
      <c r="AN486" s="9"/>
      <c r="AO486" s="9"/>
      <c r="AP486" s="9"/>
      <c r="AQ486" s="9"/>
      <c r="AR486" s="2"/>
      <c r="AS486" s="31"/>
    </row>
    <row r="487" spans="1:45">
      <c r="A487" s="13">
        <v>31868</v>
      </c>
      <c r="B487" s="3">
        <v>57.107399999999998</v>
      </c>
      <c r="C487" s="24">
        <v>111794</v>
      </c>
      <c r="D487" s="24">
        <v>101474</v>
      </c>
      <c r="E487" s="2">
        <v>6.3</v>
      </c>
      <c r="F487" s="33">
        <v>-9.0449999999999992E-3</v>
      </c>
      <c r="G487" s="33">
        <v>-1.145E-2</v>
      </c>
      <c r="H487" s="25">
        <v>8.85</v>
      </c>
      <c r="I487" s="25">
        <v>10.039999999999999</v>
      </c>
      <c r="J487" s="25">
        <v>6.37</v>
      </c>
      <c r="K487" s="25">
        <v>6.73</v>
      </c>
      <c r="L487" s="25">
        <v>5.64</v>
      </c>
      <c r="M487" s="33">
        <v>53.2</v>
      </c>
      <c r="N487">
        <v>1.2041999999999999</v>
      </c>
      <c r="O487" s="31">
        <v>253.8</v>
      </c>
      <c r="P487" s="38">
        <v>129.2988</v>
      </c>
      <c r="Q487" s="22">
        <v>0</v>
      </c>
      <c r="R487" s="38">
        <v>-0.389681</v>
      </c>
      <c r="T487" s="2"/>
      <c r="U487" s="2"/>
      <c r="V487" s="24"/>
      <c r="W487" s="24"/>
      <c r="X487" s="24"/>
      <c r="Y487" s="24"/>
      <c r="Z487" s="24"/>
      <c r="AA487" s="24"/>
      <c r="AB487" s="24"/>
      <c r="AC487" s="25"/>
      <c r="AD487" s="25"/>
      <c r="AE487" s="25"/>
      <c r="AF487" s="25"/>
      <c r="AG487" s="25"/>
      <c r="AH487" s="16"/>
      <c r="AI487" s="25"/>
      <c r="AJ487" s="25"/>
      <c r="AL487" s="3"/>
      <c r="AM487" s="22"/>
      <c r="AN487" s="9"/>
      <c r="AO487" s="9"/>
      <c r="AP487" s="9"/>
      <c r="AQ487" s="9"/>
      <c r="AR487" s="2"/>
      <c r="AS487" s="31"/>
    </row>
    <row r="488" spans="1:45">
      <c r="A488" s="13">
        <v>31898</v>
      </c>
      <c r="B488" s="3">
        <v>57.497999999999998</v>
      </c>
      <c r="C488" s="24">
        <v>112434</v>
      </c>
      <c r="D488" s="24">
        <v>101701</v>
      </c>
      <c r="E488" s="2">
        <v>6.3</v>
      </c>
      <c r="F488" s="33">
        <v>9.1280000000000007E-3</v>
      </c>
      <c r="G488" s="33">
        <v>6.0340000000000003E-3</v>
      </c>
      <c r="H488" s="25">
        <v>9.33</v>
      </c>
      <c r="I488" s="25">
        <v>10.51</v>
      </c>
      <c r="J488" s="25">
        <v>6.85</v>
      </c>
      <c r="K488" s="25">
        <v>7.25</v>
      </c>
      <c r="L488" s="25">
        <v>5.66</v>
      </c>
      <c r="M488" s="33">
        <v>54.7</v>
      </c>
      <c r="N488">
        <v>2.1032999999999999</v>
      </c>
      <c r="O488" s="31">
        <v>272.60000000000002</v>
      </c>
      <c r="P488" s="38">
        <v>130.89080000000001</v>
      </c>
      <c r="Q488" s="22">
        <v>0.238376190682</v>
      </c>
      <c r="R488" s="38">
        <v>0.25705800000000001</v>
      </c>
      <c r="T488" s="2"/>
      <c r="U488" s="2"/>
      <c r="V488" s="24"/>
      <c r="W488" s="24"/>
      <c r="X488" s="24"/>
      <c r="Y488" s="24"/>
      <c r="Z488" s="24"/>
      <c r="AA488" s="24"/>
      <c r="AB488" s="24"/>
      <c r="AC488" s="25"/>
      <c r="AD488" s="25"/>
      <c r="AE488" s="25"/>
      <c r="AF488" s="25"/>
      <c r="AG488" s="25"/>
      <c r="AH488" s="16"/>
      <c r="AI488" s="25"/>
      <c r="AJ488" s="25"/>
      <c r="AL488" s="3"/>
      <c r="AM488" s="22"/>
      <c r="AN488" s="9"/>
      <c r="AO488" s="9"/>
      <c r="AP488" s="9"/>
      <c r="AQ488" s="9"/>
      <c r="AR488" s="2"/>
      <c r="AS488" s="31"/>
    </row>
    <row r="489" spans="1:45">
      <c r="A489" s="13">
        <v>31929</v>
      </c>
      <c r="B489" s="3">
        <v>57.8001</v>
      </c>
      <c r="C489" s="24">
        <v>112246</v>
      </c>
      <c r="D489" s="24">
        <v>101872</v>
      </c>
      <c r="E489" s="2">
        <v>6.2</v>
      </c>
      <c r="F489" s="33">
        <v>5.0139999999999997E-2</v>
      </c>
      <c r="G489" s="33">
        <v>4.7914999999999999E-2</v>
      </c>
      <c r="H489" s="25">
        <v>9.32</v>
      </c>
      <c r="I489" s="25">
        <v>10.52</v>
      </c>
      <c r="J489" s="25">
        <v>6.73</v>
      </c>
      <c r="K489" s="25">
        <v>7.11</v>
      </c>
      <c r="L489" s="25">
        <v>5.67</v>
      </c>
      <c r="M489" s="33">
        <v>56.4</v>
      </c>
      <c r="N489">
        <v>-2.3033999999999999</v>
      </c>
      <c r="O489" s="31">
        <v>276.39999999999998</v>
      </c>
      <c r="P489" s="38">
        <v>161.5094</v>
      </c>
      <c r="Q489" s="22">
        <v>0</v>
      </c>
      <c r="R489" s="38">
        <v>0.24227099999999999</v>
      </c>
      <c r="T489" s="2"/>
      <c r="U489" s="2"/>
      <c r="V489" s="24"/>
      <c r="W489" s="24"/>
      <c r="X489" s="24"/>
      <c r="Y489" s="24"/>
      <c r="Z489" s="24"/>
      <c r="AA489" s="24"/>
      <c r="AB489" s="24"/>
      <c r="AC489" s="25"/>
      <c r="AD489" s="25"/>
      <c r="AE489" s="25"/>
      <c r="AF489" s="25"/>
      <c r="AG489" s="25"/>
      <c r="AH489" s="16"/>
      <c r="AI489" s="25"/>
      <c r="AJ489" s="25"/>
      <c r="AL489" s="3"/>
      <c r="AM489" s="22"/>
      <c r="AN489" s="9"/>
      <c r="AO489" s="9"/>
      <c r="AP489" s="9"/>
      <c r="AQ489" s="9"/>
      <c r="AR489" s="2"/>
      <c r="AS489" s="31"/>
    </row>
    <row r="490" spans="1:45">
      <c r="A490" s="13">
        <v>31959</v>
      </c>
      <c r="B490" s="3">
        <v>58.1706</v>
      </c>
      <c r="C490" s="24">
        <v>112634</v>
      </c>
      <c r="D490" s="24">
        <v>102218</v>
      </c>
      <c r="E490" s="2">
        <v>6.1</v>
      </c>
      <c r="F490" s="33">
        <v>4.9842999999999998E-2</v>
      </c>
      <c r="G490" s="33">
        <v>4.8224000000000003E-2</v>
      </c>
      <c r="H490" s="25">
        <v>9.42</v>
      </c>
      <c r="I490" s="25">
        <v>10.61</v>
      </c>
      <c r="J490" s="25">
        <v>6.58</v>
      </c>
      <c r="K490" s="25">
        <v>6.87</v>
      </c>
      <c r="L490" s="25">
        <v>5.69</v>
      </c>
      <c r="M490" s="33">
        <v>59.8</v>
      </c>
      <c r="N490">
        <v>-2.5198</v>
      </c>
      <c r="O490" s="31">
        <v>284.2</v>
      </c>
      <c r="P490" s="38">
        <v>114.3091</v>
      </c>
      <c r="Q490" s="22">
        <v>-4.0865438802999997E-2</v>
      </c>
      <c r="R490" s="38">
        <v>0.48434199999999999</v>
      </c>
      <c r="T490" s="2"/>
      <c r="U490" s="2"/>
      <c r="V490" s="24"/>
      <c r="W490" s="24"/>
      <c r="X490" s="24"/>
      <c r="Y490" s="24"/>
      <c r="Z490" s="24"/>
      <c r="AA490" s="24"/>
      <c r="AB490" s="24"/>
      <c r="AC490" s="25"/>
      <c r="AD490" s="25"/>
      <c r="AE490" s="25"/>
      <c r="AF490" s="25"/>
      <c r="AG490" s="25"/>
      <c r="AH490" s="16"/>
      <c r="AI490" s="25"/>
      <c r="AJ490" s="25"/>
      <c r="AL490" s="3"/>
      <c r="AM490" s="22"/>
      <c r="AN490" s="9"/>
      <c r="AO490" s="9"/>
      <c r="AP490" s="9"/>
      <c r="AQ490" s="9"/>
      <c r="AR490" s="2"/>
      <c r="AS490" s="31"/>
    </row>
    <row r="491" spans="1:45">
      <c r="A491" s="13">
        <v>31990</v>
      </c>
      <c r="B491" s="3">
        <v>58.591299999999997</v>
      </c>
      <c r="C491" s="24">
        <v>113057</v>
      </c>
      <c r="D491" s="24">
        <v>102388</v>
      </c>
      <c r="E491" s="2">
        <v>6</v>
      </c>
      <c r="F491" s="33">
        <v>3.9107999999999997E-2</v>
      </c>
      <c r="G491" s="33">
        <v>3.4958999999999997E-2</v>
      </c>
      <c r="H491" s="25">
        <v>9.67</v>
      </c>
      <c r="I491" s="25">
        <v>10.8</v>
      </c>
      <c r="J491" s="25">
        <v>6.73</v>
      </c>
      <c r="K491" s="25">
        <v>6.91</v>
      </c>
      <c r="L491" s="25">
        <v>6.04</v>
      </c>
      <c r="M491" s="33">
        <v>61.1</v>
      </c>
      <c r="N491">
        <v>0.19939000000000001</v>
      </c>
      <c r="O491" s="31">
        <v>288.3</v>
      </c>
      <c r="P491" s="38">
        <v>99.384739999999994</v>
      </c>
      <c r="Q491" s="22">
        <v>-2.1046005116000001E-2</v>
      </c>
      <c r="R491" s="38">
        <v>0.468692</v>
      </c>
      <c r="T491" s="2"/>
      <c r="U491" s="2"/>
      <c r="V491" s="24"/>
      <c r="W491" s="24"/>
      <c r="X491" s="24"/>
      <c r="Y491" s="24"/>
      <c r="Z491" s="24"/>
      <c r="AA491" s="24"/>
      <c r="AB491" s="24"/>
      <c r="AC491" s="25"/>
      <c r="AD491" s="25"/>
      <c r="AE491" s="25"/>
      <c r="AF491" s="25"/>
      <c r="AG491" s="25"/>
      <c r="AH491" s="16"/>
      <c r="AI491" s="25"/>
      <c r="AJ491" s="25"/>
      <c r="AL491" s="3"/>
      <c r="AM491" s="22"/>
      <c r="AN491" s="9"/>
      <c r="AO491" s="9"/>
      <c r="AP491" s="9"/>
      <c r="AQ491" s="9"/>
      <c r="AR491" s="2"/>
      <c r="AS491" s="31"/>
    </row>
    <row r="492" spans="1:45">
      <c r="A492" s="13">
        <v>32021</v>
      </c>
      <c r="B492" s="3">
        <v>58.747</v>
      </c>
      <c r="C492" s="24">
        <v>112909</v>
      </c>
      <c r="D492" s="24">
        <v>102617</v>
      </c>
      <c r="E492" s="2">
        <v>5.9</v>
      </c>
      <c r="F492" s="33">
        <v>-2.1940000000000001E-2</v>
      </c>
      <c r="G492" s="33">
        <v>-2.4166E-2</v>
      </c>
      <c r="H492" s="25">
        <v>10.18</v>
      </c>
      <c r="I492" s="25">
        <v>11.31</v>
      </c>
      <c r="J492" s="25">
        <v>7.22</v>
      </c>
      <c r="K492" s="25">
        <v>7.51</v>
      </c>
      <c r="L492" s="25">
        <v>6.4</v>
      </c>
      <c r="M492" s="33">
        <v>57.8</v>
      </c>
      <c r="N492">
        <v>1.9813000000000001</v>
      </c>
      <c r="O492" s="31">
        <v>292.39999999999998</v>
      </c>
      <c r="P492" s="38">
        <v>86.810069999999996</v>
      </c>
      <c r="Q492" s="22">
        <v>-0.14679526735699999</v>
      </c>
      <c r="R492" s="38">
        <v>0.49035000000000001</v>
      </c>
      <c r="T492" s="2"/>
      <c r="U492" s="2"/>
      <c r="V492" s="24"/>
      <c r="W492" s="24"/>
      <c r="X492" s="24"/>
      <c r="Y492" s="24"/>
      <c r="Z492" s="24"/>
      <c r="AA492" s="24"/>
      <c r="AB492" s="24"/>
      <c r="AC492" s="25"/>
      <c r="AD492" s="25"/>
      <c r="AE492" s="25"/>
      <c r="AF492" s="25"/>
      <c r="AG492" s="25"/>
      <c r="AH492" s="16"/>
      <c r="AI492" s="25"/>
      <c r="AJ492" s="25"/>
      <c r="AL492" s="3"/>
      <c r="AM492" s="22"/>
      <c r="AN492" s="9"/>
      <c r="AO492" s="9"/>
      <c r="AP492" s="9"/>
      <c r="AQ492" s="9"/>
      <c r="AR492" s="2"/>
      <c r="AS492" s="31"/>
    </row>
    <row r="493" spans="1:45">
      <c r="A493" s="13">
        <v>32051</v>
      </c>
      <c r="B493" s="3">
        <v>59.637999999999998</v>
      </c>
      <c r="C493" s="24">
        <v>113282</v>
      </c>
      <c r="D493" s="24">
        <v>103109</v>
      </c>
      <c r="E493" s="2">
        <v>6</v>
      </c>
      <c r="F493" s="33">
        <v>-0.21579499999999999</v>
      </c>
      <c r="G493" s="33">
        <v>-0.21762999999999999</v>
      </c>
      <c r="H493" s="25">
        <v>10.52</v>
      </c>
      <c r="I493" s="25">
        <v>11.62</v>
      </c>
      <c r="J493" s="25">
        <v>7.29</v>
      </c>
      <c r="K493" s="25">
        <v>8.2899999999999991</v>
      </c>
      <c r="L493" s="25">
        <v>6.13</v>
      </c>
      <c r="M493" s="33">
        <v>56.9</v>
      </c>
      <c r="N493">
        <v>-1.6221000000000001</v>
      </c>
      <c r="O493" s="31">
        <v>294.60000000000002</v>
      </c>
      <c r="P493" s="38">
        <v>204.60499999999999</v>
      </c>
      <c r="Q493" s="22">
        <v>0</v>
      </c>
      <c r="R493" s="38">
        <v>-0.854765</v>
      </c>
      <c r="T493" s="2"/>
      <c r="U493" s="2"/>
      <c r="V493" s="24"/>
      <c r="W493" s="24"/>
      <c r="X493" s="24"/>
      <c r="Y493" s="24"/>
      <c r="Z493" s="24"/>
      <c r="AA493" s="24"/>
      <c r="AB493" s="24"/>
      <c r="AC493" s="25"/>
      <c r="AD493" s="25"/>
      <c r="AE493" s="25"/>
      <c r="AF493" s="25"/>
      <c r="AG493" s="25"/>
      <c r="AH493" s="16"/>
      <c r="AI493" s="25"/>
      <c r="AJ493" s="25"/>
      <c r="AL493" s="3"/>
      <c r="AM493" s="22"/>
      <c r="AN493" s="9"/>
      <c r="AO493" s="9"/>
      <c r="AP493" s="9"/>
      <c r="AQ493" s="9"/>
      <c r="AR493" s="2"/>
      <c r="AS493" s="31"/>
    </row>
    <row r="494" spans="1:45">
      <c r="A494" s="13">
        <v>32082</v>
      </c>
      <c r="B494" s="3">
        <v>59.9544</v>
      </c>
      <c r="C494" s="24">
        <v>113505</v>
      </c>
      <c r="D494" s="24">
        <v>103340</v>
      </c>
      <c r="E494" s="2">
        <v>5.8</v>
      </c>
      <c r="F494" s="33">
        <v>-8.1874000000000002E-2</v>
      </c>
      <c r="G494" s="33">
        <v>-8.5348999999999994E-2</v>
      </c>
      <c r="H494" s="25">
        <v>10.01</v>
      </c>
      <c r="I494" s="25">
        <v>11.23</v>
      </c>
      <c r="J494" s="25">
        <v>6.69</v>
      </c>
      <c r="K494" s="25">
        <v>7.41</v>
      </c>
      <c r="L494" s="25">
        <v>5.69</v>
      </c>
      <c r="M494" s="33">
        <v>56.6</v>
      </c>
      <c r="N494">
        <v>-5.4028999999999998</v>
      </c>
      <c r="O494" s="31">
        <v>292</v>
      </c>
      <c r="P494" s="38">
        <v>212.22550000000001</v>
      </c>
      <c r="Q494" s="22">
        <v>-8.5128297807E-2</v>
      </c>
      <c r="R494" s="38">
        <v>0.26286300000000001</v>
      </c>
      <c r="T494" s="2"/>
      <c r="U494" s="2"/>
      <c r="V494" s="24"/>
      <c r="W494" s="24"/>
      <c r="X494" s="24"/>
      <c r="Y494" s="24"/>
      <c r="Z494" s="24"/>
      <c r="AA494" s="24"/>
      <c r="AB494" s="24"/>
      <c r="AC494" s="25"/>
      <c r="AD494" s="25"/>
      <c r="AE494" s="25"/>
      <c r="AF494" s="25"/>
      <c r="AG494" s="25"/>
      <c r="AH494" s="16"/>
      <c r="AI494" s="25"/>
      <c r="AJ494" s="25"/>
      <c r="AL494" s="3"/>
      <c r="AM494" s="22"/>
      <c r="AN494" s="9"/>
      <c r="AO494" s="9"/>
      <c r="AP494" s="9"/>
      <c r="AQ494" s="9"/>
      <c r="AR494" s="2"/>
      <c r="AS494" s="31"/>
    </row>
    <row r="495" spans="1:45">
      <c r="A495" s="13">
        <v>32112</v>
      </c>
      <c r="B495" s="3">
        <v>60.233899999999998</v>
      </c>
      <c r="C495" s="24">
        <v>113793</v>
      </c>
      <c r="D495" s="24">
        <v>103634</v>
      </c>
      <c r="E495" s="2">
        <v>5.7</v>
      </c>
      <c r="F495" s="33">
        <v>7.3922000000000002E-2</v>
      </c>
      <c r="G495" s="33">
        <v>7.2860999999999995E-2</v>
      </c>
      <c r="H495" s="25">
        <v>10.11</v>
      </c>
      <c r="I495" s="25">
        <v>11.29</v>
      </c>
      <c r="J495" s="25">
        <v>6.77</v>
      </c>
      <c r="K495" s="25">
        <v>7.86</v>
      </c>
      <c r="L495" s="25">
        <v>5.77</v>
      </c>
      <c r="M495" s="33">
        <v>54.1</v>
      </c>
      <c r="N495">
        <v>-0.37053999999999998</v>
      </c>
      <c r="O495" s="31">
        <v>293.10000000000002</v>
      </c>
      <c r="P495" s="38">
        <v>189.85509999999999</v>
      </c>
      <c r="Q495" s="22">
        <v>-0.18034346300599999</v>
      </c>
      <c r="R495" s="38">
        <v>3.4589999999999998E-3</v>
      </c>
      <c r="T495" s="2"/>
      <c r="U495" s="2"/>
      <c r="V495" s="24"/>
      <c r="W495" s="24"/>
      <c r="X495" s="24"/>
      <c r="Y495" s="24"/>
      <c r="Z495" s="24"/>
      <c r="AA495" s="24"/>
      <c r="AB495" s="24"/>
      <c r="AC495" s="25"/>
      <c r="AD495" s="25"/>
      <c r="AE495" s="25"/>
      <c r="AF495" s="25"/>
      <c r="AG495" s="25"/>
      <c r="AH495" s="16"/>
      <c r="AI495" s="25"/>
      <c r="AJ495" s="25"/>
      <c r="AL495" s="3"/>
      <c r="AM495" s="22"/>
      <c r="AN495" s="9"/>
      <c r="AO495" s="9"/>
      <c r="AP495" s="9"/>
      <c r="AQ495" s="9"/>
      <c r="AR495" s="2"/>
      <c r="AS495" s="31"/>
    </row>
    <row r="496" spans="1:45">
      <c r="A496" s="13">
        <v>32143</v>
      </c>
      <c r="B496" s="3">
        <v>60.26</v>
      </c>
      <c r="C496" s="24">
        <v>114016</v>
      </c>
      <c r="D496" s="24">
        <v>103728</v>
      </c>
      <c r="E496" s="2">
        <v>5.7</v>
      </c>
      <c r="F496" s="33">
        <v>4.2712E-2</v>
      </c>
      <c r="G496" s="33">
        <v>4.0432000000000003E-2</v>
      </c>
      <c r="H496" s="25">
        <v>9.8800000000000008</v>
      </c>
      <c r="I496" s="25">
        <v>11.07</v>
      </c>
      <c r="J496" s="25">
        <v>6.83</v>
      </c>
      <c r="K496" s="25">
        <v>7.11</v>
      </c>
      <c r="L496" s="25">
        <v>5.81</v>
      </c>
      <c r="M496" s="33">
        <v>50.1</v>
      </c>
      <c r="N496">
        <v>-0.55825000000000002</v>
      </c>
      <c r="O496" s="31">
        <v>292.5</v>
      </c>
      <c r="P496" s="38">
        <v>170.55439999999999</v>
      </c>
      <c r="Q496" s="22">
        <v>0</v>
      </c>
      <c r="R496" s="38">
        <v>-0.18634400000000001</v>
      </c>
      <c r="T496" s="2"/>
      <c r="U496" s="2"/>
      <c r="V496" s="24"/>
      <c r="W496" s="24"/>
      <c r="X496" s="24"/>
      <c r="Y496" s="24"/>
      <c r="Z496" s="24"/>
      <c r="AA496" s="24"/>
      <c r="AB496" s="24"/>
      <c r="AC496" s="25"/>
      <c r="AD496" s="25"/>
      <c r="AE496" s="25"/>
      <c r="AF496" s="25"/>
      <c r="AG496" s="25"/>
      <c r="AH496" s="16"/>
      <c r="AI496" s="25"/>
      <c r="AJ496" s="25"/>
      <c r="AL496" s="3"/>
      <c r="AM496" s="22"/>
      <c r="AN496" s="9"/>
      <c r="AO496" s="9"/>
      <c r="AP496" s="9"/>
      <c r="AQ496" s="9"/>
      <c r="AR496" s="2"/>
      <c r="AS496" s="31"/>
    </row>
    <row r="497" spans="1:45">
      <c r="A497" s="13">
        <v>32174</v>
      </c>
      <c r="B497" s="3">
        <v>60.504399999999997</v>
      </c>
      <c r="C497" s="24">
        <v>114227</v>
      </c>
      <c r="D497" s="24">
        <v>104180</v>
      </c>
      <c r="E497" s="2">
        <v>5.7</v>
      </c>
      <c r="F497" s="33">
        <v>4.7445000000000001E-2</v>
      </c>
      <c r="G497" s="33">
        <v>4.1817E-2</v>
      </c>
      <c r="H497" s="25">
        <v>9.4</v>
      </c>
      <c r="I497" s="25">
        <v>10.62</v>
      </c>
      <c r="J497" s="25">
        <v>6.58</v>
      </c>
      <c r="K497" s="25">
        <v>6.73</v>
      </c>
      <c r="L497" s="25">
        <v>5.66</v>
      </c>
      <c r="M497" s="33">
        <v>49.7</v>
      </c>
      <c r="N497">
        <v>-1.8211999999999999</v>
      </c>
      <c r="O497" s="31">
        <v>288.89999999999998</v>
      </c>
      <c r="P497" s="38">
        <v>119.0545</v>
      </c>
      <c r="Q497" s="22">
        <v>-0.22381606032699999</v>
      </c>
      <c r="R497" s="38">
        <v>0.22731499999999999</v>
      </c>
      <c r="T497" s="2"/>
      <c r="U497" s="2"/>
      <c r="V497" s="24"/>
      <c r="W497" s="24"/>
      <c r="X497" s="24"/>
      <c r="Y497" s="24"/>
      <c r="Z497" s="24"/>
      <c r="AA497" s="24"/>
      <c r="AB497" s="24"/>
      <c r="AC497" s="25"/>
      <c r="AD497" s="25"/>
      <c r="AE497" s="25"/>
      <c r="AF497" s="25"/>
      <c r="AG497" s="25"/>
      <c r="AH497" s="16"/>
      <c r="AI497" s="25"/>
      <c r="AJ497" s="25"/>
      <c r="AL497" s="3"/>
      <c r="AM497" s="22"/>
      <c r="AN497" s="9"/>
      <c r="AO497" s="9"/>
      <c r="AP497" s="9"/>
      <c r="AQ497" s="9"/>
      <c r="AR497" s="2"/>
      <c r="AS497" s="31"/>
    </row>
    <row r="498" spans="1:45">
      <c r="A498" s="13">
        <v>32203</v>
      </c>
      <c r="B498" s="3">
        <v>60.647599999999997</v>
      </c>
      <c r="C498" s="24">
        <v>114037</v>
      </c>
      <c r="D498" s="24">
        <v>104456</v>
      </c>
      <c r="E498" s="2">
        <v>5.7</v>
      </c>
      <c r="F498" s="33">
        <v>-3.0846999999999999E-2</v>
      </c>
      <c r="G498" s="33">
        <v>-3.3342999999999998E-2</v>
      </c>
      <c r="H498" s="25">
        <v>9.39</v>
      </c>
      <c r="I498" s="25">
        <v>10.57</v>
      </c>
      <c r="J498" s="25">
        <v>6.58</v>
      </c>
      <c r="K498" s="25">
        <v>6.74</v>
      </c>
      <c r="L498" s="25">
        <v>5.7</v>
      </c>
      <c r="M498" s="33">
        <v>47.2</v>
      </c>
      <c r="N498">
        <v>0.72406999999999999</v>
      </c>
      <c r="O498" s="31">
        <v>292.3</v>
      </c>
      <c r="P498" s="38">
        <v>128.77670000000001</v>
      </c>
      <c r="Q498" s="22">
        <v>1.7564930948000001E-2</v>
      </c>
      <c r="R498" s="38">
        <v>-5.0973999999999998E-2</v>
      </c>
      <c r="T498" s="2"/>
      <c r="U498" s="2"/>
      <c r="V498" s="24"/>
      <c r="W498" s="24"/>
      <c r="X498" s="24"/>
      <c r="Y498" s="24"/>
      <c r="Z498" s="24"/>
      <c r="AA498" s="24"/>
      <c r="AB498" s="24"/>
      <c r="AC498" s="25"/>
      <c r="AD498" s="25"/>
      <c r="AE498" s="25"/>
      <c r="AF498" s="25"/>
      <c r="AG498" s="25"/>
      <c r="AH498" s="16"/>
      <c r="AI498" s="25"/>
      <c r="AJ498" s="25"/>
      <c r="AL498" s="3"/>
      <c r="AM498" s="22"/>
      <c r="AN498" s="9"/>
      <c r="AO498" s="9"/>
      <c r="AP498" s="9"/>
      <c r="AQ498" s="9"/>
      <c r="AR498" s="2"/>
      <c r="AS498" s="31"/>
    </row>
    <row r="499" spans="1:45">
      <c r="A499" s="13">
        <v>32234</v>
      </c>
      <c r="B499" s="3">
        <v>60.969900000000003</v>
      </c>
      <c r="C499" s="24">
        <v>114650</v>
      </c>
      <c r="D499" s="24">
        <v>104701</v>
      </c>
      <c r="E499" s="2">
        <v>5.4</v>
      </c>
      <c r="F499" s="33">
        <v>1.0515999999999999E-2</v>
      </c>
      <c r="G499" s="33">
        <v>9.4249999999999994E-3</v>
      </c>
      <c r="H499" s="25">
        <v>9.67</v>
      </c>
      <c r="I499" s="25">
        <v>10.9</v>
      </c>
      <c r="J499" s="25">
        <v>6.87</v>
      </c>
      <c r="K499" s="25">
        <v>7.05</v>
      </c>
      <c r="L499" s="25">
        <v>5.91</v>
      </c>
      <c r="M499" s="33">
        <v>49.1</v>
      </c>
      <c r="N499">
        <v>2.0941000000000001</v>
      </c>
      <c r="O499" s="31">
        <v>297.3</v>
      </c>
      <c r="P499" s="38">
        <v>141.4598</v>
      </c>
      <c r="Q499" s="22">
        <v>0</v>
      </c>
      <c r="R499" s="38">
        <v>-1.2470000000000001E-3</v>
      </c>
      <c r="T499" s="2"/>
      <c r="U499" s="2"/>
      <c r="V499" s="24"/>
      <c r="W499" s="24"/>
      <c r="X499" s="24"/>
      <c r="Y499" s="24"/>
      <c r="Z499" s="24"/>
      <c r="AA499" s="24"/>
      <c r="AB499" s="24"/>
      <c r="AC499" s="25"/>
      <c r="AD499" s="25"/>
      <c r="AE499" s="25"/>
      <c r="AF499" s="25"/>
      <c r="AG499" s="25"/>
      <c r="AH499" s="16"/>
      <c r="AI499" s="25"/>
      <c r="AJ499" s="25"/>
      <c r="AL499" s="3"/>
      <c r="AM499" s="22"/>
      <c r="AN499" s="9"/>
      <c r="AO499" s="9"/>
      <c r="AP499" s="9"/>
      <c r="AQ499" s="9"/>
      <c r="AR499" s="2"/>
      <c r="AS499" s="31"/>
    </row>
    <row r="500" spans="1:45">
      <c r="A500" s="13">
        <v>32264</v>
      </c>
      <c r="B500" s="3">
        <v>60.917299999999997</v>
      </c>
      <c r="C500" s="24">
        <v>114292</v>
      </c>
      <c r="D500" s="24">
        <v>104928</v>
      </c>
      <c r="E500" s="2">
        <v>5.6</v>
      </c>
      <c r="F500" s="33">
        <v>8.012E-3</v>
      </c>
      <c r="G500" s="33">
        <v>3.176E-3</v>
      </c>
      <c r="H500" s="25">
        <v>9.9</v>
      </c>
      <c r="I500" s="25">
        <v>11.04</v>
      </c>
      <c r="J500" s="25">
        <v>7.09</v>
      </c>
      <c r="K500" s="25">
        <v>7.4</v>
      </c>
      <c r="L500" s="25">
        <v>6.26</v>
      </c>
      <c r="M500" s="33">
        <v>51.5</v>
      </c>
      <c r="N500">
        <v>0.32400000000000001</v>
      </c>
      <c r="O500" s="31">
        <v>301.60000000000002</v>
      </c>
      <c r="P500" s="38">
        <v>132.9573</v>
      </c>
      <c r="Q500" s="22">
        <v>0.188396485186</v>
      </c>
      <c r="R500" s="38">
        <v>4.7584000000000001E-2</v>
      </c>
      <c r="T500" s="2"/>
      <c r="U500" s="2"/>
      <c r="V500" s="24"/>
      <c r="W500" s="24"/>
      <c r="X500" s="24"/>
      <c r="Y500" s="24"/>
      <c r="Z500" s="24"/>
      <c r="AA500" s="24"/>
      <c r="AB500" s="24"/>
      <c r="AC500" s="25"/>
      <c r="AD500" s="25"/>
      <c r="AE500" s="25"/>
      <c r="AF500" s="25"/>
      <c r="AG500" s="25"/>
      <c r="AH500" s="16"/>
      <c r="AI500" s="25"/>
      <c r="AJ500" s="25"/>
      <c r="AL500" s="3"/>
      <c r="AM500" s="22"/>
      <c r="AN500" s="9"/>
      <c r="AO500" s="9"/>
      <c r="AP500" s="9"/>
      <c r="AQ500" s="9"/>
      <c r="AR500" s="2"/>
      <c r="AS500" s="31"/>
    </row>
    <row r="501" spans="1:45">
      <c r="A501" s="13">
        <v>32295</v>
      </c>
      <c r="B501" s="3">
        <v>61.066600000000001</v>
      </c>
      <c r="C501" s="24">
        <v>114927</v>
      </c>
      <c r="D501" s="24">
        <v>105291</v>
      </c>
      <c r="E501" s="2">
        <v>5.4</v>
      </c>
      <c r="F501" s="33">
        <v>4.7676000000000003E-2</v>
      </c>
      <c r="G501" s="33">
        <v>4.3256000000000003E-2</v>
      </c>
      <c r="H501" s="25">
        <v>9.86</v>
      </c>
      <c r="I501" s="25">
        <v>11</v>
      </c>
      <c r="J501" s="25">
        <v>7.51</v>
      </c>
      <c r="K501" s="25">
        <v>7.61</v>
      </c>
      <c r="L501" s="25">
        <v>6.46</v>
      </c>
      <c r="M501" s="33">
        <v>50.6</v>
      </c>
      <c r="N501">
        <v>1.4650000000000001</v>
      </c>
      <c r="O501" s="31">
        <v>309.5</v>
      </c>
      <c r="P501" s="38">
        <v>108.9622</v>
      </c>
      <c r="Q501" s="22">
        <v>0.30758703473999999</v>
      </c>
      <c r="R501" s="38">
        <v>9.2600000000000002E-2</v>
      </c>
      <c r="T501" s="2"/>
      <c r="U501" s="2"/>
      <c r="V501" s="24"/>
      <c r="W501" s="24"/>
      <c r="X501" s="24"/>
      <c r="Y501" s="24"/>
      <c r="Z501" s="24"/>
      <c r="AA501" s="24"/>
      <c r="AB501" s="24"/>
      <c r="AC501" s="25"/>
      <c r="AD501" s="25"/>
      <c r="AE501" s="25"/>
      <c r="AF501" s="25"/>
      <c r="AG501" s="25"/>
      <c r="AH501" s="16"/>
      <c r="AI501" s="25"/>
      <c r="AJ501" s="25"/>
      <c r="AL501" s="3"/>
      <c r="AM501" s="22"/>
      <c r="AN501" s="9"/>
      <c r="AO501" s="9"/>
      <c r="AP501" s="9"/>
      <c r="AQ501" s="9"/>
      <c r="AR501" s="2"/>
      <c r="AS501" s="31"/>
    </row>
    <row r="502" spans="1:45">
      <c r="A502" s="13">
        <v>32325</v>
      </c>
      <c r="B502" s="3">
        <v>61.146299999999997</v>
      </c>
      <c r="C502" s="24">
        <v>115060</v>
      </c>
      <c r="D502" s="24">
        <v>105514</v>
      </c>
      <c r="E502" s="2">
        <v>5.4</v>
      </c>
      <c r="F502" s="33">
        <v>-4.4580000000000002E-3</v>
      </c>
      <c r="G502" s="33">
        <v>-5.411E-3</v>
      </c>
      <c r="H502" s="25">
        <v>9.9600000000000009</v>
      </c>
      <c r="I502" s="25">
        <v>11.11</v>
      </c>
      <c r="J502" s="25">
        <v>7.75</v>
      </c>
      <c r="K502" s="25">
        <v>8.09</v>
      </c>
      <c r="L502" s="25">
        <v>6.73</v>
      </c>
      <c r="M502" s="33">
        <v>45.7</v>
      </c>
      <c r="N502">
        <v>-0.48309999999999997</v>
      </c>
      <c r="O502" s="31">
        <v>309</v>
      </c>
      <c r="P502" s="38">
        <v>108.4046</v>
      </c>
      <c r="Q502" s="22">
        <v>0</v>
      </c>
      <c r="R502" s="38">
        <v>-0.233768</v>
      </c>
      <c r="T502" s="2"/>
      <c r="U502" s="2"/>
      <c r="V502" s="24"/>
      <c r="W502" s="24"/>
      <c r="X502" s="24"/>
      <c r="Y502" s="24"/>
      <c r="Z502" s="24"/>
      <c r="AA502" s="24"/>
      <c r="AB502" s="24"/>
      <c r="AC502" s="25"/>
      <c r="AD502" s="25"/>
      <c r="AE502" s="25"/>
      <c r="AF502" s="25"/>
      <c r="AG502" s="25"/>
      <c r="AH502" s="16"/>
      <c r="AI502" s="25"/>
      <c r="AJ502" s="25"/>
      <c r="AL502" s="3"/>
      <c r="AM502" s="22"/>
      <c r="AN502" s="9"/>
      <c r="AO502" s="9"/>
      <c r="AP502" s="9"/>
      <c r="AQ502" s="9"/>
      <c r="AR502" s="2"/>
      <c r="AS502" s="31"/>
    </row>
    <row r="503" spans="1:45">
      <c r="A503" s="13">
        <v>32356</v>
      </c>
      <c r="B503" s="3">
        <v>61.403700000000001</v>
      </c>
      <c r="C503" s="24">
        <v>115282</v>
      </c>
      <c r="D503" s="24">
        <v>105635</v>
      </c>
      <c r="E503" s="2">
        <v>5.6</v>
      </c>
      <c r="F503" s="33">
        <v>-3.2488000000000003E-2</v>
      </c>
      <c r="G503" s="33">
        <v>-3.8600000000000002E-2</v>
      </c>
      <c r="H503" s="25">
        <v>10.11</v>
      </c>
      <c r="I503" s="25">
        <v>11.21</v>
      </c>
      <c r="J503" s="25">
        <v>8.01</v>
      </c>
      <c r="K503" s="25">
        <v>8.4700000000000006</v>
      </c>
      <c r="L503" s="25">
        <v>7.06</v>
      </c>
      <c r="M503" s="33">
        <v>45</v>
      </c>
      <c r="N503">
        <v>0.74409999999999998</v>
      </c>
      <c r="O503" s="31">
        <v>309.89999999999998</v>
      </c>
      <c r="P503" s="38">
        <v>131.4753</v>
      </c>
      <c r="Q503" s="22">
        <v>-0.181507589434</v>
      </c>
      <c r="R503" s="38">
        <v>-1.4922E-2</v>
      </c>
      <c r="T503" s="2"/>
      <c r="U503" s="2"/>
      <c r="V503" s="24"/>
      <c r="W503" s="24"/>
      <c r="X503" s="24"/>
      <c r="Y503" s="24"/>
      <c r="Z503" s="24"/>
      <c r="AA503" s="24"/>
      <c r="AB503" s="24"/>
      <c r="AC503" s="25"/>
      <c r="AD503" s="25"/>
      <c r="AE503" s="25"/>
      <c r="AF503" s="25"/>
      <c r="AG503" s="25"/>
      <c r="AH503" s="16"/>
      <c r="AI503" s="25"/>
      <c r="AJ503" s="25"/>
      <c r="AL503" s="3"/>
      <c r="AM503" s="22"/>
      <c r="AN503" s="9"/>
      <c r="AO503" s="9"/>
      <c r="AP503" s="9"/>
      <c r="AQ503" s="9"/>
      <c r="AR503" s="2"/>
      <c r="AS503" s="31"/>
    </row>
    <row r="504" spans="1:45">
      <c r="A504" s="13">
        <v>32387</v>
      </c>
      <c r="B504" s="3">
        <v>61.192999999999998</v>
      </c>
      <c r="C504" s="24">
        <v>115356</v>
      </c>
      <c r="D504" s="24">
        <v>105975</v>
      </c>
      <c r="E504" s="2">
        <v>5.4</v>
      </c>
      <c r="F504" s="33">
        <v>4.2738999999999999E-2</v>
      </c>
      <c r="G504" s="33">
        <v>3.9729E-2</v>
      </c>
      <c r="H504" s="25">
        <v>9.82</v>
      </c>
      <c r="I504" s="25">
        <v>10.9</v>
      </c>
      <c r="J504" s="25">
        <v>8.19</v>
      </c>
      <c r="K504" s="25">
        <v>8.31</v>
      </c>
      <c r="L504" s="25">
        <v>7.24</v>
      </c>
      <c r="M504" s="33">
        <v>42.6</v>
      </c>
      <c r="N504">
        <v>0.82703000000000004</v>
      </c>
      <c r="O504" s="31">
        <v>306.39999999999998</v>
      </c>
      <c r="P504" s="38">
        <v>136.86070000000001</v>
      </c>
      <c r="Q504" s="22">
        <v>-6.7281263603000005E-2</v>
      </c>
      <c r="R504" s="38">
        <v>0.14788599999999999</v>
      </c>
      <c r="T504" s="2"/>
      <c r="U504" s="2"/>
      <c r="V504" s="24"/>
      <c r="W504" s="24"/>
      <c r="X504" s="24"/>
      <c r="Y504" s="24"/>
      <c r="Z504" s="24"/>
      <c r="AA504" s="24"/>
      <c r="AB504" s="24"/>
      <c r="AC504" s="25"/>
      <c r="AD504" s="25"/>
      <c r="AE504" s="25"/>
      <c r="AF504" s="25"/>
      <c r="AG504" s="25"/>
      <c r="AH504" s="16"/>
      <c r="AI504" s="25"/>
      <c r="AJ504" s="25"/>
      <c r="AL504" s="3"/>
      <c r="AM504" s="22"/>
      <c r="AN504" s="9"/>
      <c r="AO504" s="9"/>
      <c r="AP504" s="9"/>
      <c r="AQ504" s="9"/>
      <c r="AR504" s="2"/>
      <c r="AS504" s="31"/>
    </row>
    <row r="505" spans="1:45">
      <c r="A505" s="13">
        <v>32417</v>
      </c>
      <c r="B505" s="3">
        <v>61.513500000000001</v>
      </c>
      <c r="C505" s="24">
        <v>115638</v>
      </c>
      <c r="D505" s="24">
        <v>106243</v>
      </c>
      <c r="E505" s="2">
        <v>5.4</v>
      </c>
      <c r="F505" s="33">
        <v>2.6891000000000002E-2</v>
      </c>
      <c r="G505" s="33">
        <v>2.5964000000000001E-2</v>
      </c>
      <c r="H505" s="25">
        <v>9.51</v>
      </c>
      <c r="I505" s="25">
        <v>10.41</v>
      </c>
      <c r="J505" s="25">
        <v>8.3000000000000007</v>
      </c>
      <c r="K505" s="25">
        <v>8.51</v>
      </c>
      <c r="L505" s="25">
        <v>7.35</v>
      </c>
      <c r="M505" s="33">
        <v>39.299999999999997</v>
      </c>
      <c r="N505">
        <v>0.85633000000000004</v>
      </c>
      <c r="O505" s="31">
        <v>305</v>
      </c>
      <c r="P505" s="38">
        <v>98.883290000000002</v>
      </c>
      <c r="Q505" s="22">
        <v>0</v>
      </c>
      <c r="R505" s="38">
        <v>0.238955</v>
      </c>
      <c r="T505" s="2"/>
      <c r="U505" s="2"/>
      <c r="V505" s="24"/>
      <c r="W505" s="24"/>
      <c r="X505" s="24"/>
      <c r="Y505" s="24"/>
      <c r="Z505" s="24"/>
      <c r="AA505" s="24"/>
      <c r="AB505" s="24"/>
      <c r="AC505" s="25"/>
      <c r="AD505" s="25"/>
      <c r="AE505" s="25"/>
      <c r="AF505" s="25"/>
      <c r="AG505" s="25"/>
      <c r="AH505" s="16"/>
      <c r="AI505" s="25"/>
      <c r="AJ505" s="25"/>
      <c r="AL505" s="3"/>
      <c r="AM505" s="22"/>
      <c r="AN505" s="9"/>
      <c r="AO505" s="9"/>
      <c r="AP505" s="9"/>
      <c r="AQ505" s="9"/>
      <c r="AR505" s="2"/>
      <c r="AS505" s="31"/>
    </row>
    <row r="506" spans="1:45">
      <c r="A506" s="13">
        <v>32448</v>
      </c>
      <c r="B506" s="3">
        <v>61.619500000000002</v>
      </c>
      <c r="C506" s="24">
        <v>116100</v>
      </c>
      <c r="D506" s="24">
        <v>106582</v>
      </c>
      <c r="E506" s="2">
        <v>5.3</v>
      </c>
      <c r="F506" s="33">
        <v>-1.4355E-2</v>
      </c>
      <c r="G506" s="33">
        <v>-1.8891000000000002E-2</v>
      </c>
      <c r="H506" s="25">
        <v>9.4499999999999993</v>
      </c>
      <c r="I506" s="25">
        <v>10.48</v>
      </c>
      <c r="J506" s="25">
        <v>8.35</v>
      </c>
      <c r="K506" s="25">
        <v>8.91</v>
      </c>
      <c r="L506" s="25">
        <v>7.76</v>
      </c>
      <c r="M506" s="33">
        <v>39.200000000000003</v>
      </c>
      <c r="N506">
        <v>8.1956000000000001E-2</v>
      </c>
      <c r="O506" s="31">
        <v>309.7</v>
      </c>
      <c r="P506" s="38">
        <v>130.24539999999999</v>
      </c>
      <c r="Q506" s="22">
        <v>-9.3634297940000007E-3</v>
      </c>
      <c r="R506" s="38">
        <v>0.10216699999999999</v>
      </c>
      <c r="T506" s="2"/>
      <c r="U506" s="2"/>
      <c r="V506" s="24"/>
      <c r="W506" s="24"/>
      <c r="X506" s="24"/>
      <c r="Y506" s="24"/>
      <c r="Z506" s="24"/>
      <c r="AA506" s="24"/>
      <c r="AB506" s="24"/>
      <c r="AC506" s="25"/>
      <c r="AD506" s="25"/>
      <c r="AE506" s="25"/>
      <c r="AF506" s="25"/>
      <c r="AG506" s="25"/>
      <c r="AH506" s="16"/>
      <c r="AI506" s="25"/>
      <c r="AJ506" s="25"/>
      <c r="AL506" s="3"/>
      <c r="AM506" s="22"/>
      <c r="AN506" s="9"/>
      <c r="AO506" s="9"/>
      <c r="AP506" s="9"/>
      <c r="AQ506" s="9"/>
      <c r="AR506" s="2"/>
      <c r="AS506" s="31"/>
    </row>
    <row r="507" spans="1:45">
      <c r="A507" s="13">
        <v>32478</v>
      </c>
      <c r="B507" s="3">
        <v>61.887799999999999</v>
      </c>
      <c r="C507" s="24">
        <v>116104</v>
      </c>
      <c r="D507" s="24">
        <v>106871</v>
      </c>
      <c r="E507" s="2">
        <v>5.3</v>
      </c>
      <c r="F507" s="33">
        <v>1.8553E-2</v>
      </c>
      <c r="G507" s="33">
        <v>1.4688E-2</v>
      </c>
      <c r="H507" s="25">
        <v>9.57</v>
      </c>
      <c r="I507" s="25">
        <v>10.65</v>
      </c>
      <c r="J507" s="25">
        <v>8.76</v>
      </c>
      <c r="K507" s="25">
        <v>9.3000000000000007</v>
      </c>
      <c r="L507" s="25">
        <v>8.07</v>
      </c>
      <c r="M507" s="33">
        <v>44.3</v>
      </c>
      <c r="N507">
        <v>2.9056999999999999</v>
      </c>
      <c r="O507" s="31">
        <v>317.2</v>
      </c>
      <c r="P507" s="38">
        <v>120.8379</v>
      </c>
      <c r="Q507" s="22">
        <v>0.44583689672100002</v>
      </c>
      <c r="R507" s="38">
        <v>0.23052900000000001</v>
      </c>
      <c r="T507" s="2"/>
      <c r="U507" s="2"/>
      <c r="V507" s="24"/>
      <c r="W507" s="24"/>
      <c r="X507" s="24"/>
      <c r="Y507" s="24"/>
      <c r="Z507" s="24"/>
      <c r="AA507" s="24"/>
      <c r="AB507" s="24"/>
      <c r="AC507" s="25"/>
      <c r="AD507" s="25"/>
      <c r="AE507" s="25"/>
      <c r="AF507" s="25"/>
      <c r="AG507" s="25"/>
      <c r="AH507" s="16"/>
      <c r="AI507" s="25"/>
      <c r="AJ507" s="25"/>
      <c r="AL507" s="3"/>
      <c r="AM507" s="22"/>
      <c r="AN507" s="9"/>
      <c r="AO507" s="9"/>
      <c r="AP507" s="9"/>
      <c r="AQ507" s="9"/>
      <c r="AR507" s="2"/>
      <c r="AS507" s="31"/>
    </row>
    <row r="508" spans="1:45">
      <c r="A508" s="13">
        <v>32509</v>
      </c>
      <c r="B508" s="3">
        <v>62.047499999999999</v>
      </c>
      <c r="C508" s="24">
        <v>116708</v>
      </c>
      <c r="D508" s="24">
        <v>107133</v>
      </c>
      <c r="E508" s="2">
        <v>5.4</v>
      </c>
      <c r="F508" s="33">
        <v>7.2303000000000006E-2</v>
      </c>
      <c r="G508" s="33">
        <v>7.1114999999999998E-2</v>
      </c>
      <c r="H508" s="25">
        <v>9.6199999999999992</v>
      </c>
      <c r="I508" s="25">
        <v>10.65</v>
      </c>
      <c r="J508" s="25">
        <v>9.1199999999999992</v>
      </c>
      <c r="K508" s="25">
        <v>9.2799999999999994</v>
      </c>
      <c r="L508" s="25">
        <v>8.27</v>
      </c>
      <c r="M508" s="33">
        <v>49.7</v>
      </c>
      <c r="N508">
        <v>1.8520000000000001</v>
      </c>
      <c r="O508" s="31">
        <v>324.7</v>
      </c>
      <c r="P508" s="38">
        <v>113.38809999999999</v>
      </c>
      <c r="Q508" s="22">
        <v>0</v>
      </c>
      <c r="R508" s="38">
        <v>0.13846800000000001</v>
      </c>
      <c r="T508" s="2"/>
      <c r="U508" s="2"/>
      <c r="V508" s="24"/>
      <c r="W508" s="24"/>
      <c r="X508" s="24"/>
      <c r="Y508" s="24"/>
      <c r="Z508" s="24"/>
      <c r="AA508" s="24"/>
      <c r="AB508" s="24"/>
      <c r="AC508" s="25"/>
      <c r="AD508" s="25"/>
      <c r="AE508" s="25"/>
      <c r="AF508" s="25"/>
      <c r="AG508" s="25"/>
      <c r="AH508" s="16"/>
      <c r="AI508" s="25"/>
      <c r="AJ508" s="25"/>
      <c r="AL508" s="3"/>
      <c r="AM508" s="22"/>
      <c r="AN508" s="9"/>
      <c r="AO508" s="9"/>
      <c r="AP508" s="9"/>
      <c r="AQ508" s="9"/>
      <c r="AR508" s="2"/>
      <c r="AS508" s="31"/>
    </row>
    <row r="509" spans="1:45">
      <c r="A509" s="13">
        <v>32540</v>
      </c>
      <c r="B509" s="3">
        <v>61.788800000000002</v>
      </c>
      <c r="C509" s="24">
        <v>116776</v>
      </c>
      <c r="D509" s="24">
        <v>107391</v>
      </c>
      <c r="E509" s="2">
        <v>5.2</v>
      </c>
      <c r="F509" s="33">
        <v>-2.5031000000000001E-2</v>
      </c>
      <c r="G509" s="33">
        <v>-2.8944000000000001E-2</v>
      </c>
      <c r="H509" s="25">
        <v>9.64</v>
      </c>
      <c r="I509" s="25">
        <v>10.61</v>
      </c>
      <c r="J509" s="25">
        <v>9.36</v>
      </c>
      <c r="K509" s="25">
        <v>9.61</v>
      </c>
      <c r="L509" s="25">
        <v>8.5299999999999994</v>
      </c>
      <c r="M509" s="33">
        <v>50.3</v>
      </c>
      <c r="N509">
        <v>0.93918000000000001</v>
      </c>
      <c r="O509" s="31">
        <v>329.3</v>
      </c>
      <c r="P509" s="38">
        <v>88.768590000000003</v>
      </c>
      <c r="Q509" s="22">
        <v>0.29732694001799997</v>
      </c>
      <c r="R509" s="38">
        <v>-4.7999999999999996E-3</v>
      </c>
      <c r="T509" s="2"/>
      <c r="U509" s="2"/>
      <c r="V509" s="24"/>
      <c r="W509" s="24"/>
      <c r="X509" s="24"/>
      <c r="Y509" s="24"/>
      <c r="Z509" s="24"/>
      <c r="AA509" s="24"/>
      <c r="AB509" s="24"/>
      <c r="AC509" s="25"/>
      <c r="AD509" s="25"/>
      <c r="AE509" s="25"/>
      <c r="AF509" s="25"/>
      <c r="AG509" s="25"/>
      <c r="AH509" s="16"/>
      <c r="AI509" s="25"/>
      <c r="AJ509" s="25"/>
      <c r="AL509" s="3"/>
      <c r="AM509" s="22"/>
      <c r="AN509" s="9"/>
      <c r="AO509" s="9"/>
      <c r="AP509" s="9"/>
      <c r="AQ509" s="9"/>
      <c r="AR509" s="2"/>
      <c r="AS509" s="31"/>
    </row>
    <row r="510" spans="1:45">
      <c r="A510" s="13">
        <v>32568</v>
      </c>
      <c r="B510" s="3">
        <v>61.962899999999998</v>
      </c>
      <c r="C510" s="24">
        <v>117022</v>
      </c>
      <c r="D510" s="24">
        <v>107583</v>
      </c>
      <c r="E510" s="2">
        <v>5</v>
      </c>
      <c r="F510" s="33">
        <v>2.3037999999999999E-2</v>
      </c>
      <c r="G510" s="33">
        <v>2.0806000000000002E-2</v>
      </c>
      <c r="H510" s="25">
        <v>9.8000000000000007</v>
      </c>
      <c r="I510" s="25">
        <v>10.67</v>
      </c>
      <c r="J510" s="25">
        <v>9.85</v>
      </c>
      <c r="K510" s="25">
        <v>10.18</v>
      </c>
      <c r="L510" s="25">
        <v>8.82</v>
      </c>
      <c r="M510" s="33">
        <v>53.9</v>
      </c>
      <c r="N510">
        <v>1.9714</v>
      </c>
      <c r="O510" s="31">
        <v>334.6</v>
      </c>
      <c r="P510" s="38">
        <v>128.56790000000001</v>
      </c>
      <c r="Q510" s="22">
        <v>6.0943031892000003E-2</v>
      </c>
      <c r="R510" s="38">
        <v>0.28135100000000002</v>
      </c>
      <c r="T510" s="2"/>
      <c r="U510" s="2"/>
      <c r="V510" s="24"/>
      <c r="W510" s="24"/>
      <c r="X510" s="24"/>
      <c r="Y510" s="24"/>
      <c r="Z510" s="24"/>
      <c r="AA510" s="24"/>
      <c r="AB510" s="24"/>
      <c r="AC510" s="25"/>
      <c r="AD510" s="25"/>
      <c r="AE510" s="25"/>
      <c r="AF510" s="25"/>
      <c r="AG510" s="25"/>
      <c r="AH510" s="16"/>
      <c r="AI510" s="25"/>
      <c r="AJ510" s="25"/>
      <c r="AL510" s="3"/>
      <c r="AM510" s="22"/>
      <c r="AN510" s="9"/>
      <c r="AO510" s="9"/>
      <c r="AP510" s="9"/>
      <c r="AQ510" s="9"/>
      <c r="AR510" s="2"/>
      <c r="AS510" s="31"/>
    </row>
    <row r="511" spans="1:45">
      <c r="A511" s="13">
        <v>32599</v>
      </c>
      <c r="B511" s="3">
        <v>61.987400000000001</v>
      </c>
      <c r="C511" s="24">
        <v>117097</v>
      </c>
      <c r="D511" s="24">
        <v>107756</v>
      </c>
      <c r="E511" s="2">
        <v>5.2</v>
      </c>
      <c r="F511" s="33">
        <v>5.1707000000000003E-2</v>
      </c>
      <c r="G511" s="33">
        <v>5.0090000000000003E-2</v>
      </c>
      <c r="H511" s="25">
        <v>9.7899999999999991</v>
      </c>
      <c r="I511" s="25">
        <v>10.61</v>
      </c>
      <c r="J511" s="25">
        <v>9.84</v>
      </c>
      <c r="K511" s="25">
        <v>10.039999999999999</v>
      </c>
      <c r="L511" s="25">
        <v>8.65</v>
      </c>
      <c r="M511" s="33">
        <v>58.9</v>
      </c>
      <c r="N511">
        <v>-0.85955000000000004</v>
      </c>
      <c r="O511" s="31">
        <v>335</v>
      </c>
      <c r="P511" s="38">
        <v>107.1969</v>
      </c>
      <c r="Q511" s="22">
        <v>0</v>
      </c>
      <c r="R511" s="38">
        <v>0.50730900000000001</v>
      </c>
      <c r="T511" s="2"/>
      <c r="U511" s="2"/>
      <c r="V511" s="24"/>
      <c r="W511" s="24"/>
      <c r="X511" s="24"/>
      <c r="Y511" s="24"/>
      <c r="Z511" s="24"/>
      <c r="AA511" s="24"/>
      <c r="AB511" s="24"/>
      <c r="AC511" s="25"/>
      <c r="AD511" s="25"/>
      <c r="AE511" s="25"/>
      <c r="AF511" s="25"/>
      <c r="AG511" s="25"/>
      <c r="AH511" s="16"/>
      <c r="AI511" s="25"/>
      <c r="AJ511" s="25"/>
      <c r="AL511" s="3"/>
      <c r="AM511" s="22"/>
      <c r="AN511" s="9"/>
      <c r="AO511" s="9"/>
      <c r="AP511" s="9"/>
      <c r="AQ511" s="9"/>
      <c r="AR511" s="2"/>
      <c r="AS511" s="31"/>
    </row>
    <row r="512" spans="1:45">
      <c r="A512" s="13">
        <v>32629</v>
      </c>
      <c r="B512" s="3">
        <v>61.573399999999999</v>
      </c>
      <c r="C512" s="24">
        <v>117099</v>
      </c>
      <c r="D512" s="24">
        <v>107874</v>
      </c>
      <c r="E512" s="2">
        <v>5.2</v>
      </c>
      <c r="F512" s="33">
        <v>4.1022000000000003E-2</v>
      </c>
      <c r="G512" s="33">
        <v>3.5138000000000003E-2</v>
      </c>
      <c r="H512" s="25">
        <v>9.57</v>
      </c>
      <c r="I512" s="25">
        <v>10.46</v>
      </c>
      <c r="J512" s="25">
        <v>9.81</v>
      </c>
      <c r="K512" s="25">
        <v>9.66</v>
      </c>
      <c r="L512" s="25">
        <v>8.43</v>
      </c>
      <c r="M512" s="33">
        <v>59.5</v>
      </c>
      <c r="N512">
        <v>-0.25680999999999998</v>
      </c>
      <c r="O512" s="31">
        <v>330.5</v>
      </c>
      <c r="P512" s="38">
        <v>117.3275</v>
      </c>
      <c r="Q512" s="22">
        <v>0.153398808655</v>
      </c>
      <c r="R512" s="38">
        <v>0.228857</v>
      </c>
      <c r="T512" s="2"/>
      <c r="U512" s="2"/>
      <c r="V512" s="24"/>
      <c r="W512" s="24"/>
      <c r="X512" s="24"/>
      <c r="Y512" s="24"/>
      <c r="Z512" s="24"/>
      <c r="AA512" s="24"/>
      <c r="AB512" s="24"/>
      <c r="AC512" s="25"/>
      <c r="AD512" s="25"/>
      <c r="AE512" s="25"/>
      <c r="AF512" s="25"/>
      <c r="AG512" s="25"/>
      <c r="AH512" s="16"/>
      <c r="AI512" s="25"/>
      <c r="AJ512" s="25"/>
      <c r="AL512" s="3"/>
      <c r="AM512" s="22"/>
      <c r="AN512" s="9"/>
      <c r="AO512" s="9"/>
      <c r="AP512" s="9"/>
      <c r="AQ512" s="9"/>
      <c r="AR512" s="2"/>
      <c r="AS512" s="31"/>
    </row>
    <row r="513" spans="1:45">
      <c r="A513" s="13">
        <v>32660</v>
      </c>
      <c r="B513" s="3">
        <v>61.611499999999999</v>
      </c>
      <c r="C513" s="24">
        <v>117418</v>
      </c>
      <c r="D513" s="24">
        <v>107991</v>
      </c>
      <c r="E513" s="2">
        <v>5.3</v>
      </c>
      <c r="F513" s="33">
        <v>-5.6109999999999997E-3</v>
      </c>
      <c r="G513" s="33">
        <v>-7.9249999999999998E-3</v>
      </c>
      <c r="H513" s="25">
        <v>9.1</v>
      </c>
      <c r="I513" s="25">
        <v>10.029999999999999</v>
      </c>
      <c r="J513" s="25">
        <v>9.5299999999999994</v>
      </c>
      <c r="K513" s="25">
        <v>9.2799999999999994</v>
      </c>
      <c r="L513" s="25">
        <v>8.15</v>
      </c>
      <c r="M513" s="33">
        <v>58.3</v>
      </c>
      <c r="N513">
        <v>-1.4923</v>
      </c>
      <c r="O513" s="31">
        <v>329.1</v>
      </c>
      <c r="P513" s="38">
        <v>134.755</v>
      </c>
      <c r="Q513" s="22">
        <v>0</v>
      </c>
      <c r="R513" s="38">
        <v>0.40971800000000003</v>
      </c>
      <c r="T513" s="2"/>
      <c r="U513" s="2"/>
      <c r="V513" s="24"/>
      <c r="W513" s="24"/>
      <c r="X513" s="24"/>
      <c r="Y513" s="24"/>
      <c r="Z513" s="24"/>
      <c r="AA513" s="24"/>
      <c r="AB513" s="24"/>
      <c r="AC513" s="25"/>
      <c r="AD513" s="25"/>
      <c r="AE513" s="25"/>
      <c r="AF513" s="25"/>
      <c r="AG513" s="25"/>
      <c r="AH513" s="16"/>
      <c r="AI513" s="25"/>
      <c r="AJ513" s="25"/>
      <c r="AL513" s="3"/>
      <c r="AM513" s="22"/>
      <c r="AN513" s="9"/>
      <c r="AO513" s="9"/>
      <c r="AP513" s="9"/>
      <c r="AQ513" s="9"/>
      <c r="AR513" s="2"/>
      <c r="AS513" s="31"/>
    </row>
    <row r="514" spans="1:45">
      <c r="A514" s="13">
        <v>32690</v>
      </c>
      <c r="B514" s="3">
        <v>61.018099999999997</v>
      </c>
      <c r="C514" s="24">
        <v>117472</v>
      </c>
      <c r="D514" s="24">
        <v>108030</v>
      </c>
      <c r="E514" s="2">
        <v>5.2</v>
      </c>
      <c r="F514" s="33">
        <v>9.0052999999999994E-2</v>
      </c>
      <c r="G514" s="33">
        <v>8.8370000000000004E-2</v>
      </c>
      <c r="H514" s="25">
        <v>8.93</v>
      </c>
      <c r="I514" s="25">
        <v>9.8699999999999992</v>
      </c>
      <c r="J514" s="25">
        <v>9.24</v>
      </c>
      <c r="K514" s="25">
        <v>8.85</v>
      </c>
      <c r="L514" s="25">
        <v>7.88</v>
      </c>
      <c r="M514" s="33">
        <v>59.9</v>
      </c>
      <c r="N514">
        <v>-1.1592</v>
      </c>
      <c r="O514" s="31">
        <v>326.7</v>
      </c>
      <c r="P514" s="38">
        <v>114.6216</v>
      </c>
      <c r="Q514" s="22">
        <v>7.4773029401999994E-2</v>
      </c>
      <c r="R514" s="38">
        <v>0.64470000000000005</v>
      </c>
      <c r="T514" s="2"/>
      <c r="U514" s="2"/>
      <c r="V514" s="24"/>
      <c r="W514" s="24"/>
      <c r="X514" s="24"/>
      <c r="Y514" s="24"/>
      <c r="Z514" s="24"/>
      <c r="AA514" s="24"/>
      <c r="AB514" s="24"/>
      <c r="AC514" s="25"/>
      <c r="AD514" s="25"/>
      <c r="AE514" s="25"/>
      <c r="AF514" s="25"/>
      <c r="AG514" s="25"/>
      <c r="AH514" s="16"/>
      <c r="AI514" s="25"/>
      <c r="AJ514" s="25"/>
      <c r="AL514" s="3"/>
      <c r="AM514" s="22"/>
      <c r="AN514" s="9"/>
      <c r="AO514" s="9"/>
      <c r="AP514" s="9"/>
      <c r="AQ514" s="9"/>
      <c r="AR514" s="2"/>
      <c r="AS514" s="31"/>
    </row>
    <row r="515" spans="1:45">
      <c r="A515" s="13">
        <v>32721</v>
      </c>
      <c r="B515" s="3">
        <v>61.546700000000001</v>
      </c>
      <c r="C515" s="24">
        <v>117655</v>
      </c>
      <c r="D515" s="24">
        <v>108077</v>
      </c>
      <c r="E515" s="2">
        <v>5.2</v>
      </c>
      <c r="F515" s="33">
        <v>1.9852999999999999E-2</v>
      </c>
      <c r="G515" s="33">
        <v>1.5517E-2</v>
      </c>
      <c r="H515" s="25">
        <v>8.9600000000000009</v>
      </c>
      <c r="I515" s="25">
        <v>9.8800000000000008</v>
      </c>
      <c r="J515" s="25">
        <v>8.99</v>
      </c>
      <c r="K515" s="25">
        <v>8.7100000000000009</v>
      </c>
      <c r="L515" s="25">
        <v>7.9</v>
      </c>
      <c r="M515" s="33">
        <v>53.5</v>
      </c>
      <c r="N515">
        <v>-1.8890999999999999E-3</v>
      </c>
      <c r="O515" s="31">
        <v>325</v>
      </c>
      <c r="P515" s="38">
        <v>114.53319999999999</v>
      </c>
      <c r="Q515" s="22">
        <v>-0.139107082869</v>
      </c>
      <c r="R515" s="38">
        <v>0.35289399999999999</v>
      </c>
      <c r="T515" s="2"/>
      <c r="U515" s="2"/>
      <c r="V515" s="24"/>
      <c r="W515" s="24"/>
      <c r="X515" s="24"/>
      <c r="Y515" s="24"/>
      <c r="Z515" s="24"/>
      <c r="AA515" s="24"/>
      <c r="AB515" s="24"/>
      <c r="AC515" s="25"/>
      <c r="AD515" s="25"/>
      <c r="AE515" s="25"/>
      <c r="AF515" s="25"/>
      <c r="AG515" s="25"/>
      <c r="AH515" s="16"/>
      <c r="AI515" s="25"/>
      <c r="AJ515" s="25"/>
      <c r="AL515" s="3"/>
      <c r="AM515" s="22"/>
      <c r="AN515" s="9"/>
      <c r="AO515" s="9"/>
      <c r="AP515" s="9"/>
      <c r="AQ515" s="9"/>
      <c r="AR515" s="2"/>
      <c r="AS515" s="31"/>
    </row>
    <row r="516" spans="1:45">
      <c r="A516" s="13">
        <v>32752</v>
      </c>
      <c r="B516" s="3">
        <v>61.389499999999998</v>
      </c>
      <c r="C516" s="24">
        <v>117354</v>
      </c>
      <c r="D516" s="24">
        <v>108326</v>
      </c>
      <c r="E516" s="2">
        <v>5.3</v>
      </c>
      <c r="F516" s="33">
        <v>-4.0039999999999997E-3</v>
      </c>
      <c r="G516" s="33">
        <v>-6.5440000000000003E-3</v>
      </c>
      <c r="H516" s="25">
        <v>9.01</v>
      </c>
      <c r="I516" s="25">
        <v>9.91</v>
      </c>
      <c r="J516" s="25">
        <v>9.02</v>
      </c>
      <c r="K516" s="25">
        <v>8.85</v>
      </c>
      <c r="L516" s="25">
        <v>7.75</v>
      </c>
      <c r="M516" s="33">
        <v>56.2</v>
      </c>
      <c r="N516">
        <v>1.8306</v>
      </c>
      <c r="O516" s="31">
        <v>327</v>
      </c>
      <c r="P516" s="38">
        <v>114.6932</v>
      </c>
      <c r="Q516" s="22">
        <v>0</v>
      </c>
      <c r="R516" s="38">
        <v>0.374579</v>
      </c>
      <c r="T516" s="2"/>
      <c r="U516" s="2"/>
      <c r="V516" s="24"/>
      <c r="W516" s="24"/>
      <c r="X516" s="24"/>
      <c r="Y516" s="24"/>
      <c r="Z516" s="24"/>
      <c r="AA516" s="24"/>
      <c r="AB516" s="24"/>
      <c r="AC516" s="25"/>
      <c r="AD516" s="25"/>
      <c r="AE516" s="25"/>
      <c r="AF516" s="25"/>
      <c r="AG516" s="25"/>
      <c r="AH516" s="16"/>
      <c r="AI516" s="25"/>
      <c r="AJ516" s="25"/>
      <c r="AL516" s="3"/>
      <c r="AM516" s="22"/>
      <c r="AN516" s="9"/>
      <c r="AO516" s="9"/>
      <c r="AP516" s="9"/>
      <c r="AQ516" s="9"/>
      <c r="AR516" s="2"/>
      <c r="AS516" s="31"/>
    </row>
    <row r="517" spans="1:45">
      <c r="A517" s="13">
        <v>32782</v>
      </c>
      <c r="B517" s="3">
        <v>61.323300000000003</v>
      </c>
      <c r="C517" s="24">
        <v>117581</v>
      </c>
      <c r="D517" s="24">
        <v>108437</v>
      </c>
      <c r="E517" s="2">
        <v>5.3</v>
      </c>
      <c r="F517" s="33">
        <v>-2.3633000000000001E-2</v>
      </c>
      <c r="G517" s="33">
        <v>-2.5174999999999999E-2</v>
      </c>
      <c r="H517" s="25">
        <v>8.92</v>
      </c>
      <c r="I517" s="25">
        <v>9.81</v>
      </c>
      <c r="J517" s="25">
        <v>8.84</v>
      </c>
      <c r="K517" s="25">
        <v>8.67</v>
      </c>
      <c r="L517" s="25">
        <v>7.64</v>
      </c>
      <c r="M517" s="33">
        <v>57.6</v>
      </c>
      <c r="N517">
        <v>-0.44220999999999999</v>
      </c>
      <c r="O517" s="31">
        <v>325.7</v>
      </c>
      <c r="P517" s="38">
        <v>112.7042</v>
      </c>
      <c r="Q517" s="22">
        <v>-8.6605990898999993E-2</v>
      </c>
      <c r="R517" s="38">
        <v>0.27629700000000001</v>
      </c>
      <c r="T517" s="2"/>
      <c r="U517" s="2"/>
      <c r="V517" s="24"/>
      <c r="W517" s="24"/>
      <c r="X517" s="24"/>
      <c r="Y517" s="24"/>
      <c r="Z517" s="24"/>
      <c r="AA517" s="24"/>
      <c r="AB517" s="24"/>
      <c r="AC517" s="25"/>
      <c r="AD517" s="25"/>
      <c r="AE517" s="25"/>
      <c r="AF517" s="25"/>
      <c r="AG517" s="25"/>
      <c r="AH517" s="16"/>
      <c r="AI517" s="25"/>
      <c r="AJ517" s="25"/>
      <c r="AL517" s="3"/>
      <c r="AM517" s="22"/>
      <c r="AN517" s="9"/>
      <c r="AO517" s="9"/>
      <c r="AP517" s="9"/>
      <c r="AQ517" s="9"/>
      <c r="AR517" s="2"/>
      <c r="AS517" s="31"/>
    </row>
    <row r="518" spans="1:45">
      <c r="A518" s="13">
        <v>32813</v>
      </c>
      <c r="B518" s="3">
        <v>61.508800000000001</v>
      </c>
      <c r="C518" s="24">
        <v>117912</v>
      </c>
      <c r="D518" s="24">
        <v>108714</v>
      </c>
      <c r="E518" s="2">
        <v>5.4</v>
      </c>
      <c r="F518" s="33">
        <v>2.0479000000000001E-2</v>
      </c>
      <c r="G518" s="33">
        <v>1.6541E-2</v>
      </c>
      <c r="H518" s="25">
        <v>8.89</v>
      </c>
      <c r="I518" s="25">
        <v>9.81</v>
      </c>
      <c r="J518" s="25">
        <v>8.5500000000000007</v>
      </c>
      <c r="K518" s="25">
        <v>8.42</v>
      </c>
      <c r="L518" s="25">
        <v>7.69</v>
      </c>
      <c r="M518" s="33">
        <v>57.6</v>
      </c>
      <c r="N518">
        <v>-1.4962</v>
      </c>
      <c r="O518" s="31">
        <v>314.2</v>
      </c>
      <c r="P518" s="38">
        <v>136.28989999999999</v>
      </c>
      <c r="Q518" s="22">
        <v>0.107772313991</v>
      </c>
      <c r="R518" s="38">
        <v>0.466086</v>
      </c>
      <c r="T518" s="2"/>
      <c r="U518" s="2"/>
      <c r="V518" s="24"/>
      <c r="W518" s="24"/>
      <c r="X518" s="24"/>
      <c r="Y518" s="24"/>
      <c r="Z518" s="24"/>
      <c r="AA518" s="24"/>
      <c r="AB518" s="24"/>
      <c r="AC518" s="25"/>
      <c r="AD518" s="25"/>
      <c r="AE518" s="25"/>
      <c r="AF518" s="25"/>
      <c r="AG518" s="25"/>
      <c r="AH518" s="16"/>
      <c r="AI518" s="25"/>
      <c r="AJ518" s="25"/>
      <c r="AL518" s="3"/>
      <c r="AM518" s="22"/>
      <c r="AN518" s="9"/>
      <c r="AO518" s="9"/>
      <c r="AP518" s="9"/>
      <c r="AQ518" s="9"/>
      <c r="AR518" s="2"/>
      <c r="AS518" s="31"/>
    </row>
    <row r="519" spans="1:45">
      <c r="A519" s="13">
        <v>32843</v>
      </c>
      <c r="B519" s="3">
        <v>61.870699999999999</v>
      </c>
      <c r="C519" s="24">
        <v>117830</v>
      </c>
      <c r="D519" s="24">
        <v>108809</v>
      </c>
      <c r="E519" s="2">
        <v>5.4</v>
      </c>
      <c r="F519" s="33">
        <v>2.2657E-2</v>
      </c>
      <c r="G519" s="33">
        <v>2.1416999999999999E-2</v>
      </c>
      <c r="H519" s="25">
        <v>8.86</v>
      </c>
      <c r="I519" s="25">
        <v>9.82</v>
      </c>
      <c r="J519" s="25">
        <v>8.4499999999999993</v>
      </c>
      <c r="K519" s="25">
        <v>8.39</v>
      </c>
      <c r="L519" s="25">
        <v>7.63</v>
      </c>
      <c r="M519" s="33">
        <v>59.8</v>
      </c>
      <c r="N519">
        <v>-0.14693000000000001</v>
      </c>
      <c r="O519" s="31">
        <v>301.7</v>
      </c>
      <c r="P519" s="38">
        <v>116.9547</v>
      </c>
      <c r="Q519" s="22">
        <v>-6.6550274519000002E-2</v>
      </c>
      <c r="R519" s="38">
        <v>0.40795999999999999</v>
      </c>
      <c r="T519" s="2"/>
      <c r="U519" s="2"/>
      <c r="V519" s="24"/>
      <c r="W519" s="24"/>
      <c r="X519" s="24"/>
      <c r="Y519" s="24"/>
      <c r="Z519" s="24"/>
      <c r="AA519" s="24"/>
      <c r="AB519" s="24"/>
      <c r="AC519" s="25"/>
      <c r="AD519" s="25"/>
      <c r="AE519" s="25"/>
      <c r="AF519" s="25"/>
      <c r="AG519" s="25"/>
      <c r="AH519" s="16"/>
      <c r="AI519" s="25"/>
      <c r="AJ519" s="25"/>
      <c r="AL519" s="3"/>
      <c r="AM519" s="22"/>
      <c r="AN519" s="9"/>
      <c r="AO519" s="9"/>
      <c r="AP519" s="9"/>
      <c r="AQ519" s="9"/>
      <c r="AR519" s="2"/>
      <c r="AS519" s="31"/>
    </row>
    <row r="520" spans="1:45">
      <c r="A520" s="13">
        <v>32874</v>
      </c>
      <c r="B520" s="3">
        <v>61.495800000000003</v>
      </c>
      <c r="C520" s="24">
        <v>119081</v>
      </c>
      <c r="D520" s="24">
        <v>109145</v>
      </c>
      <c r="E520" s="2">
        <v>5.4</v>
      </c>
      <c r="F520" s="33">
        <v>-6.7660999999999999E-2</v>
      </c>
      <c r="G520" s="33">
        <v>-6.8817000000000003E-2</v>
      </c>
      <c r="H520" s="25">
        <v>8.99</v>
      </c>
      <c r="I520" s="25">
        <v>9.94</v>
      </c>
      <c r="J520" s="25">
        <v>8.23</v>
      </c>
      <c r="K520" s="25">
        <v>8.2200000000000006</v>
      </c>
      <c r="L520" s="25">
        <v>7.64</v>
      </c>
      <c r="M520" s="33">
        <v>64.3</v>
      </c>
      <c r="N520">
        <v>-0.45007000000000003</v>
      </c>
      <c r="O520" s="31">
        <v>300.89999999999998</v>
      </c>
      <c r="P520" s="38">
        <v>129.89769999999999</v>
      </c>
      <c r="Q520" s="22">
        <v>0</v>
      </c>
      <c r="R520" s="38">
        <v>0.122256</v>
      </c>
      <c r="T520" s="2"/>
      <c r="U520" s="2"/>
      <c r="V520" s="24"/>
      <c r="W520" s="24"/>
      <c r="X520" s="24"/>
      <c r="Y520" s="24"/>
      <c r="Z520" s="24"/>
      <c r="AA520" s="24"/>
      <c r="AB520" s="24"/>
      <c r="AC520" s="25"/>
      <c r="AD520" s="25"/>
      <c r="AE520" s="25"/>
      <c r="AF520" s="25"/>
      <c r="AG520" s="25"/>
      <c r="AH520" s="16"/>
      <c r="AI520" s="25"/>
      <c r="AJ520" s="25"/>
      <c r="AL520" s="3"/>
      <c r="AM520" s="22"/>
      <c r="AN520" s="9"/>
      <c r="AO520" s="9"/>
      <c r="AP520" s="9"/>
      <c r="AQ520" s="9"/>
      <c r="AR520" s="2"/>
      <c r="AS520" s="31"/>
    </row>
    <row r="521" spans="1:45">
      <c r="A521" s="13">
        <v>32905</v>
      </c>
      <c r="B521" s="3">
        <v>62.070399999999999</v>
      </c>
      <c r="C521" s="24">
        <v>119059</v>
      </c>
      <c r="D521" s="24">
        <v>109394</v>
      </c>
      <c r="E521" s="2">
        <v>5.3</v>
      </c>
      <c r="F521" s="33">
        <v>1.3381000000000001E-2</v>
      </c>
      <c r="G521" s="33">
        <v>8.5389999999999997E-3</v>
      </c>
      <c r="H521" s="25">
        <v>9.2200000000000006</v>
      </c>
      <c r="I521" s="25">
        <v>10.14</v>
      </c>
      <c r="J521" s="25">
        <v>8.24</v>
      </c>
      <c r="K521" s="25">
        <v>8.24</v>
      </c>
      <c r="L521" s="25">
        <v>7.74</v>
      </c>
      <c r="M521" s="33">
        <v>65</v>
      </c>
      <c r="N521">
        <v>1.2819</v>
      </c>
      <c r="O521" s="31">
        <v>301.10000000000002</v>
      </c>
      <c r="P521" s="38">
        <v>150.98060000000001</v>
      </c>
      <c r="Q521" s="22">
        <v>0.31303953200899998</v>
      </c>
      <c r="R521" s="38">
        <v>0.24271000000000001</v>
      </c>
      <c r="T521" s="2"/>
      <c r="U521" s="2"/>
      <c r="V521" s="24"/>
      <c r="W521" s="24"/>
      <c r="X521" s="24"/>
      <c r="Y521" s="24"/>
      <c r="Z521" s="24"/>
      <c r="AA521" s="24"/>
      <c r="AB521" s="24"/>
      <c r="AC521" s="25"/>
      <c r="AD521" s="25"/>
      <c r="AE521" s="25"/>
      <c r="AF521" s="25"/>
      <c r="AG521" s="25"/>
      <c r="AH521" s="16"/>
      <c r="AI521" s="25"/>
      <c r="AJ521" s="25"/>
      <c r="AL521" s="3"/>
      <c r="AM521" s="22"/>
      <c r="AN521" s="9"/>
      <c r="AO521" s="9"/>
      <c r="AP521" s="9"/>
      <c r="AQ521" s="9"/>
      <c r="AR521" s="2"/>
      <c r="AS521" s="31"/>
    </row>
    <row r="522" spans="1:45">
      <c r="A522" s="13">
        <v>32933</v>
      </c>
      <c r="B522" s="3">
        <v>62.404000000000003</v>
      </c>
      <c r="C522" s="24">
        <v>119203</v>
      </c>
      <c r="D522" s="24">
        <v>109609</v>
      </c>
      <c r="E522" s="2">
        <v>5.2</v>
      </c>
      <c r="F522" s="33">
        <v>2.6588000000000001E-2</v>
      </c>
      <c r="G522" s="33">
        <v>2.4254999999999999E-2</v>
      </c>
      <c r="H522" s="25">
        <v>9.3699999999999992</v>
      </c>
      <c r="I522" s="25">
        <v>10.210000000000001</v>
      </c>
      <c r="J522" s="25">
        <v>8.2799999999999994</v>
      </c>
      <c r="K522" s="25">
        <v>8.3699999999999992</v>
      </c>
      <c r="L522" s="25">
        <v>7.9</v>
      </c>
      <c r="M522" s="33">
        <v>60</v>
      </c>
      <c r="N522">
        <v>1.0507</v>
      </c>
      <c r="O522" s="31">
        <v>304.5</v>
      </c>
      <c r="P522" s="38">
        <v>137.49299999999999</v>
      </c>
      <c r="Q522" s="22">
        <v>-9.3912779574000002E-2</v>
      </c>
      <c r="R522" s="38">
        <v>0.35004800000000003</v>
      </c>
      <c r="T522" s="2"/>
      <c r="U522" s="2"/>
      <c r="V522" s="24"/>
      <c r="W522" s="24"/>
      <c r="X522" s="24"/>
      <c r="Y522" s="24"/>
      <c r="Z522" s="24"/>
      <c r="AA522" s="24"/>
      <c r="AB522" s="24"/>
      <c r="AC522" s="25"/>
      <c r="AD522" s="25"/>
      <c r="AE522" s="25"/>
      <c r="AF522" s="25"/>
      <c r="AG522" s="25"/>
      <c r="AH522" s="16"/>
      <c r="AI522" s="25"/>
      <c r="AJ522" s="25"/>
      <c r="AL522" s="3"/>
      <c r="AM522" s="22"/>
      <c r="AN522" s="9"/>
      <c r="AO522" s="9"/>
      <c r="AP522" s="9"/>
      <c r="AQ522" s="9"/>
      <c r="AR522" s="2"/>
      <c r="AS522" s="31"/>
    </row>
    <row r="523" spans="1:45">
      <c r="A523" s="13">
        <v>32964</v>
      </c>
      <c r="B523" s="3">
        <v>62.322000000000003</v>
      </c>
      <c r="C523" s="24">
        <v>118852</v>
      </c>
      <c r="D523" s="24">
        <v>109650</v>
      </c>
      <c r="E523" s="2">
        <v>5.4</v>
      </c>
      <c r="F523" s="33">
        <v>-2.4504000000000001E-2</v>
      </c>
      <c r="G523" s="33">
        <v>-2.6887000000000001E-2</v>
      </c>
      <c r="H523" s="25">
        <v>9.4600000000000009</v>
      </c>
      <c r="I523" s="25">
        <v>10.3</v>
      </c>
      <c r="J523" s="25">
        <v>8.26</v>
      </c>
      <c r="K523" s="25">
        <v>8.44</v>
      </c>
      <c r="L523" s="25">
        <v>7.77</v>
      </c>
      <c r="M523" s="33">
        <v>52.6</v>
      </c>
      <c r="N523">
        <v>-0.58345000000000002</v>
      </c>
      <c r="O523" s="31">
        <v>310.89999999999998</v>
      </c>
      <c r="P523" s="38">
        <v>106.7311</v>
      </c>
      <c r="Q523" s="22">
        <v>0</v>
      </c>
      <c r="R523" s="38">
        <v>-3.0162000000000001E-2</v>
      </c>
      <c r="T523" s="2"/>
      <c r="U523" s="2"/>
      <c r="V523" s="24"/>
      <c r="W523" s="24"/>
      <c r="X523" s="24"/>
      <c r="Y523" s="24"/>
      <c r="Z523" s="24"/>
      <c r="AA523" s="24"/>
      <c r="AB523" s="24"/>
      <c r="AC523" s="25"/>
      <c r="AD523" s="25"/>
      <c r="AE523" s="25"/>
      <c r="AF523" s="25"/>
      <c r="AG523" s="25"/>
      <c r="AH523" s="16"/>
      <c r="AI523" s="25"/>
      <c r="AJ523" s="25"/>
      <c r="AL523" s="3"/>
      <c r="AM523" s="22"/>
      <c r="AN523" s="9"/>
      <c r="AO523" s="9"/>
      <c r="AP523" s="9"/>
      <c r="AQ523" s="9"/>
      <c r="AR523" s="2"/>
      <c r="AS523" s="31"/>
    </row>
    <row r="524" spans="1:45">
      <c r="A524" s="13">
        <v>32994</v>
      </c>
      <c r="B524" s="3">
        <v>62.442300000000003</v>
      </c>
      <c r="C524" s="24">
        <v>119151</v>
      </c>
      <c r="D524" s="24">
        <v>109800</v>
      </c>
      <c r="E524" s="2">
        <v>5.4</v>
      </c>
      <c r="F524" s="33">
        <v>9.7419000000000006E-2</v>
      </c>
      <c r="G524" s="33">
        <v>9.1989000000000001E-2</v>
      </c>
      <c r="H524" s="25">
        <v>9.4700000000000006</v>
      </c>
      <c r="I524" s="25">
        <v>10.41</v>
      </c>
      <c r="J524" s="25">
        <v>8.18</v>
      </c>
      <c r="K524" s="25">
        <v>8.35</v>
      </c>
      <c r="L524" s="25">
        <v>7.74</v>
      </c>
      <c r="M524" s="33">
        <v>54.5</v>
      </c>
      <c r="N524">
        <v>-0.57635999999999998</v>
      </c>
      <c r="O524" s="31">
        <v>314.7</v>
      </c>
      <c r="P524" s="38">
        <v>121.9692</v>
      </c>
      <c r="Q524" s="22">
        <v>4.3965740029999999E-2</v>
      </c>
      <c r="R524" s="38">
        <v>-7.1690000000000004E-2</v>
      </c>
      <c r="T524" s="2"/>
      <c r="U524" s="2"/>
      <c r="V524" s="24"/>
      <c r="W524" s="24"/>
      <c r="X524" s="24"/>
      <c r="Y524" s="24"/>
      <c r="Z524" s="24"/>
      <c r="AA524" s="24"/>
      <c r="AB524" s="24"/>
      <c r="AC524" s="25"/>
      <c r="AD524" s="25"/>
      <c r="AE524" s="25"/>
      <c r="AF524" s="25"/>
      <c r="AG524" s="25"/>
      <c r="AH524" s="16"/>
      <c r="AI524" s="25"/>
      <c r="AJ524" s="25"/>
      <c r="AL524" s="3"/>
      <c r="AM524" s="22"/>
      <c r="AN524" s="9"/>
      <c r="AO524" s="9"/>
      <c r="AP524" s="9"/>
      <c r="AQ524" s="9"/>
      <c r="AR524" s="2"/>
      <c r="AS524" s="31"/>
    </row>
    <row r="525" spans="1:45">
      <c r="A525" s="13">
        <v>33025</v>
      </c>
      <c r="B525" s="3">
        <v>62.642699999999998</v>
      </c>
      <c r="C525" s="24">
        <v>118983</v>
      </c>
      <c r="D525" s="24">
        <v>109822</v>
      </c>
      <c r="E525" s="2">
        <v>5.2</v>
      </c>
      <c r="F525" s="33">
        <v>-6.7539999999999996E-3</v>
      </c>
      <c r="G525" s="33">
        <v>-8.8859999999999998E-3</v>
      </c>
      <c r="H525" s="25">
        <v>9.26</v>
      </c>
      <c r="I525" s="25">
        <v>10.220000000000001</v>
      </c>
      <c r="J525" s="25">
        <v>8.2899999999999991</v>
      </c>
      <c r="K525" s="25">
        <v>8.23</v>
      </c>
      <c r="L525" s="25">
        <v>7.73</v>
      </c>
      <c r="M525" s="33">
        <v>47.9</v>
      </c>
      <c r="N525">
        <v>-0.21339</v>
      </c>
      <c r="O525" s="31">
        <v>317.2</v>
      </c>
      <c r="P525" s="38">
        <v>129.32769999999999</v>
      </c>
      <c r="Q525" s="22">
        <v>0</v>
      </c>
      <c r="R525" s="38">
        <v>3.7005000000000003E-2</v>
      </c>
      <c r="T525" s="2"/>
      <c r="U525" s="2"/>
      <c r="V525" s="24"/>
      <c r="W525" s="24"/>
      <c r="X525" s="24"/>
      <c r="Y525" s="24"/>
      <c r="Z525" s="24"/>
      <c r="AA525" s="24"/>
      <c r="AB525" s="24"/>
      <c r="AC525" s="25"/>
      <c r="AD525" s="25"/>
      <c r="AE525" s="25"/>
      <c r="AF525" s="25"/>
      <c r="AG525" s="25"/>
      <c r="AH525" s="16"/>
      <c r="AI525" s="25"/>
      <c r="AJ525" s="25"/>
      <c r="AL525" s="3"/>
      <c r="AM525" s="22"/>
      <c r="AN525" s="9"/>
      <c r="AO525" s="9"/>
      <c r="AP525" s="9"/>
      <c r="AQ525" s="9"/>
      <c r="AR525" s="2"/>
      <c r="AS525" s="31"/>
    </row>
    <row r="526" spans="1:45">
      <c r="A526" s="13">
        <v>33055</v>
      </c>
      <c r="B526" s="3">
        <v>62.5518</v>
      </c>
      <c r="C526" s="24">
        <v>118810</v>
      </c>
      <c r="D526" s="24">
        <v>109776</v>
      </c>
      <c r="E526" s="2">
        <v>5.5</v>
      </c>
      <c r="F526" s="33">
        <v>-4.4539999999999996E-3</v>
      </c>
      <c r="G526" s="33">
        <v>-5.2230000000000002E-3</v>
      </c>
      <c r="H526" s="25">
        <v>9.24</v>
      </c>
      <c r="I526" s="25">
        <v>10.199999999999999</v>
      </c>
      <c r="J526" s="25">
        <v>8.15</v>
      </c>
      <c r="K526" s="25">
        <v>8.09</v>
      </c>
      <c r="L526" s="25">
        <v>7.62</v>
      </c>
      <c r="M526" s="33">
        <v>46.3</v>
      </c>
      <c r="N526">
        <v>-1.1358999999999999</v>
      </c>
      <c r="O526" s="31">
        <v>319.7</v>
      </c>
      <c r="P526" s="38">
        <v>109.6966</v>
      </c>
      <c r="Q526" s="22">
        <v>-6.5610272107999995E-2</v>
      </c>
      <c r="R526" s="38">
        <v>7.6490000000000004E-3</v>
      </c>
      <c r="T526" s="2"/>
      <c r="U526" s="2"/>
      <c r="V526" s="24"/>
      <c r="W526" s="24"/>
      <c r="X526" s="24"/>
      <c r="Y526" s="24"/>
      <c r="Z526" s="24"/>
      <c r="AA526" s="24"/>
      <c r="AB526" s="24"/>
      <c r="AC526" s="25"/>
      <c r="AD526" s="25"/>
      <c r="AE526" s="25"/>
      <c r="AF526" s="25"/>
      <c r="AG526" s="25"/>
      <c r="AH526" s="16"/>
      <c r="AI526" s="25"/>
      <c r="AJ526" s="25"/>
      <c r="AL526" s="3"/>
      <c r="AM526" s="22"/>
      <c r="AN526" s="9"/>
      <c r="AO526" s="9"/>
      <c r="AP526" s="9"/>
      <c r="AQ526" s="9"/>
      <c r="AR526" s="2"/>
      <c r="AS526" s="31"/>
    </row>
    <row r="527" spans="1:45">
      <c r="A527" s="13">
        <v>33086</v>
      </c>
      <c r="B527" s="3">
        <v>62.729599999999998</v>
      </c>
      <c r="C527" s="24">
        <v>118802</v>
      </c>
      <c r="D527" s="24">
        <v>109570</v>
      </c>
      <c r="E527" s="2">
        <v>5.7</v>
      </c>
      <c r="F527" s="33">
        <v>-9.0801000000000007E-2</v>
      </c>
      <c r="G527" s="33">
        <v>-9.4313999999999995E-2</v>
      </c>
      <c r="H527" s="25">
        <v>9.41</v>
      </c>
      <c r="I527" s="25">
        <v>10.41</v>
      </c>
      <c r="J527" s="25">
        <v>8.1300000000000008</v>
      </c>
      <c r="K527" s="25">
        <v>7.99</v>
      </c>
      <c r="L527" s="25">
        <v>7.45</v>
      </c>
      <c r="M527" s="33">
        <v>75.2</v>
      </c>
      <c r="N527">
        <v>-0.10383000000000001</v>
      </c>
      <c r="O527" s="31">
        <v>321.10000000000002</v>
      </c>
      <c r="P527" s="38">
        <v>175.44929999999999</v>
      </c>
      <c r="Q527" s="22">
        <v>0.149651772298</v>
      </c>
      <c r="R527" s="38">
        <v>-0.27006999999999998</v>
      </c>
      <c r="T527" s="2"/>
      <c r="U527" s="2"/>
      <c r="V527" s="24"/>
      <c r="W527" s="24"/>
      <c r="X527" s="24"/>
      <c r="Y527" s="24"/>
      <c r="Z527" s="24"/>
      <c r="AA527" s="24"/>
      <c r="AB527" s="24"/>
      <c r="AC527" s="25"/>
      <c r="AD527" s="25"/>
      <c r="AE527" s="25"/>
      <c r="AF527" s="25"/>
      <c r="AG527" s="25"/>
      <c r="AH527" s="16"/>
      <c r="AI527" s="25"/>
      <c r="AJ527" s="25"/>
      <c r="AL527" s="3"/>
      <c r="AM527" s="22"/>
      <c r="AN527" s="9"/>
      <c r="AO527" s="9"/>
      <c r="AP527" s="9"/>
      <c r="AQ527" s="9"/>
      <c r="AR527" s="2"/>
      <c r="AS527" s="31"/>
    </row>
    <row r="528" spans="1:45">
      <c r="A528" s="13">
        <v>33117</v>
      </c>
      <c r="B528" s="3">
        <v>62.854500000000002</v>
      </c>
      <c r="C528" s="24">
        <v>118524</v>
      </c>
      <c r="D528" s="24">
        <v>109484</v>
      </c>
      <c r="E528" s="2">
        <v>5.9</v>
      </c>
      <c r="F528" s="33">
        <v>-4.8959000000000003E-2</v>
      </c>
      <c r="G528" s="33">
        <v>-5.1184E-2</v>
      </c>
      <c r="H528" s="25">
        <v>9.56</v>
      </c>
      <c r="I528" s="25">
        <v>10.64</v>
      </c>
      <c r="J528" s="25">
        <v>8.1999999999999993</v>
      </c>
      <c r="K528" s="25">
        <v>8.07</v>
      </c>
      <c r="L528" s="25">
        <v>7.36</v>
      </c>
      <c r="M528" s="33">
        <v>91</v>
      </c>
      <c r="N528">
        <v>1.6060000000000001</v>
      </c>
      <c r="O528" s="31">
        <v>320</v>
      </c>
      <c r="P528" s="38">
        <v>184.4933</v>
      </c>
      <c r="Q528" s="22">
        <v>0</v>
      </c>
      <c r="R528" s="38">
        <v>-5.0514999999999997E-2</v>
      </c>
      <c r="T528" s="2"/>
      <c r="U528" s="2"/>
      <c r="V528" s="24"/>
      <c r="W528" s="24"/>
      <c r="X528" s="24"/>
      <c r="Y528" s="24"/>
      <c r="Z528" s="24"/>
      <c r="AA528" s="24"/>
      <c r="AB528" s="24"/>
      <c r="AC528" s="25"/>
      <c r="AD528" s="25"/>
      <c r="AE528" s="25"/>
      <c r="AF528" s="25"/>
      <c r="AG528" s="25"/>
      <c r="AH528" s="16"/>
      <c r="AI528" s="25"/>
      <c r="AJ528" s="25"/>
      <c r="AL528" s="3"/>
      <c r="AM528" s="22"/>
      <c r="AN528" s="9"/>
      <c r="AO528" s="9"/>
      <c r="AP528" s="9"/>
      <c r="AQ528" s="9"/>
      <c r="AR528" s="2"/>
      <c r="AS528" s="31"/>
    </row>
    <row r="529" spans="1:45">
      <c r="A529" s="13">
        <v>33147</v>
      </c>
      <c r="B529" s="3">
        <v>62.378599999999999</v>
      </c>
      <c r="C529" s="24">
        <v>118536</v>
      </c>
      <c r="D529" s="24">
        <v>109325</v>
      </c>
      <c r="E529" s="2">
        <v>5.9</v>
      </c>
      <c r="F529" s="33">
        <v>-3.5969999999999999E-3</v>
      </c>
      <c r="G529" s="33">
        <v>-6.698E-3</v>
      </c>
      <c r="H529" s="25">
        <v>9.5299999999999994</v>
      </c>
      <c r="I529" s="25">
        <v>10.74</v>
      </c>
      <c r="J529" s="25">
        <v>8.11</v>
      </c>
      <c r="K529" s="25">
        <v>8.06</v>
      </c>
      <c r="L529" s="25">
        <v>7.17</v>
      </c>
      <c r="M529" s="33">
        <v>118</v>
      </c>
      <c r="N529">
        <v>0.59769000000000005</v>
      </c>
      <c r="O529" s="31">
        <v>313.89999999999998</v>
      </c>
      <c r="P529" s="38">
        <v>169.00649999999999</v>
      </c>
      <c r="Q529" s="22">
        <v>-0.119344369142</v>
      </c>
      <c r="R529" s="38">
        <v>0.100434</v>
      </c>
      <c r="T529" s="2"/>
      <c r="U529" s="2"/>
      <c r="V529" s="24"/>
      <c r="W529" s="24"/>
      <c r="X529" s="24"/>
      <c r="Y529" s="24"/>
      <c r="Z529" s="24"/>
      <c r="AA529" s="24"/>
      <c r="AB529" s="24"/>
      <c r="AC529" s="25"/>
      <c r="AD529" s="25"/>
      <c r="AE529" s="25"/>
      <c r="AF529" s="25"/>
      <c r="AG529" s="25"/>
      <c r="AH529" s="16"/>
      <c r="AI529" s="25"/>
      <c r="AJ529" s="25"/>
      <c r="AL529" s="3"/>
      <c r="AM529" s="22"/>
      <c r="AN529" s="9"/>
      <c r="AO529" s="9"/>
      <c r="AP529" s="9"/>
      <c r="AQ529" s="9"/>
      <c r="AR529" s="2"/>
      <c r="AS529" s="31"/>
    </row>
    <row r="530" spans="1:45">
      <c r="A530" s="13">
        <v>33178</v>
      </c>
      <c r="B530" s="3">
        <v>61.622300000000003</v>
      </c>
      <c r="C530" s="24">
        <v>118306</v>
      </c>
      <c r="D530" s="24">
        <v>109178</v>
      </c>
      <c r="E530" s="2">
        <v>6.2</v>
      </c>
      <c r="F530" s="33">
        <v>6.4560999999999993E-2</v>
      </c>
      <c r="G530" s="33">
        <v>5.9934000000000001E-2</v>
      </c>
      <c r="H530" s="25">
        <v>9.3000000000000007</v>
      </c>
      <c r="I530" s="25">
        <v>10.62</v>
      </c>
      <c r="J530" s="25">
        <v>7.81</v>
      </c>
      <c r="K530" s="25">
        <v>8.0399999999999991</v>
      </c>
      <c r="L530" s="25">
        <v>7.06</v>
      </c>
      <c r="M530" s="33">
        <v>97.3</v>
      </c>
      <c r="N530">
        <v>-0.95043</v>
      </c>
      <c r="O530" s="31">
        <v>303.2</v>
      </c>
      <c r="P530" s="38">
        <v>182.1842</v>
      </c>
      <c r="Q530" s="22">
        <v>-1.7550121145E-2</v>
      </c>
      <c r="R530" s="38">
        <v>0.25997700000000001</v>
      </c>
      <c r="T530" s="2"/>
      <c r="U530" s="2"/>
      <c r="V530" s="24"/>
      <c r="W530" s="24"/>
      <c r="X530" s="24"/>
      <c r="Y530" s="24"/>
      <c r="Z530" s="24"/>
      <c r="AA530" s="24"/>
      <c r="AB530" s="24"/>
      <c r="AC530" s="25"/>
      <c r="AD530" s="25"/>
      <c r="AE530" s="25"/>
      <c r="AF530" s="25"/>
      <c r="AG530" s="25"/>
      <c r="AH530" s="16"/>
      <c r="AI530" s="25"/>
      <c r="AJ530" s="25"/>
      <c r="AL530" s="3"/>
      <c r="AM530" s="22"/>
      <c r="AN530" s="9"/>
      <c r="AO530" s="9"/>
      <c r="AP530" s="9"/>
      <c r="AQ530" s="9"/>
      <c r="AR530" s="2"/>
      <c r="AS530" s="31"/>
    </row>
    <row r="531" spans="1:45">
      <c r="A531" s="13">
        <v>33208</v>
      </c>
      <c r="B531" s="3">
        <v>61.193199999999997</v>
      </c>
      <c r="C531" s="24">
        <v>118241</v>
      </c>
      <c r="D531" s="24">
        <v>109120</v>
      </c>
      <c r="E531" s="2">
        <v>6.3</v>
      </c>
      <c r="F531" s="33">
        <v>2.7987000000000001E-2</v>
      </c>
      <c r="G531" s="33">
        <v>2.4827999999999999E-2</v>
      </c>
      <c r="H531" s="25">
        <v>9.0500000000000007</v>
      </c>
      <c r="I531" s="25">
        <v>10.43</v>
      </c>
      <c r="J531" s="25">
        <v>7.31</v>
      </c>
      <c r="K531" s="25">
        <v>7.87</v>
      </c>
      <c r="L531" s="25">
        <v>6.74</v>
      </c>
      <c r="M531" s="33">
        <v>79.3</v>
      </c>
      <c r="N531">
        <v>-1.2614000000000001</v>
      </c>
      <c r="O531" s="31">
        <v>301.2</v>
      </c>
      <c r="P531" s="38">
        <v>160.17349999999999</v>
      </c>
      <c r="Q531" s="22">
        <v>-0.158639656415</v>
      </c>
      <c r="R531" s="38">
        <v>0.19308600000000001</v>
      </c>
      <c r="T531" s="2"/>
      <c r="U531" s="2"/>
      <c r="V531" s="24"/>
      <c r="W531" s="24"/>
      <c r="X531" s="24"/>
      <c r="Y531" s="24"/>
      <c r="Z531" s="24"/>
      <c r="AA531" s="24"/>
      <c r="AB531" s="24"/>
      <c r="AC531" s="25"/>
      <c r="AD531" s="25"/>
      <c r="AE531" s="25"/>
      <c r="AF531" s="25"/>
      <c r="AG531" s="25"/>
      <c r="AH531" s="16"/>
      <c r="AI531" s="25"/>
      <c r="AJ531" s="25"/>
      <c r="AL531" s="3"/>
      <c r="AM531" s="22"/>
      <c r="AN531" s="9"/>
      <c r="AO531" s="9"/>
      <c r="AP531" s="9"/>
      <c r="AQ531" s="9"/>
      <c r="AR531" s="2"/>
      <c r="AS531" s="31"/>
    </row>
    <row r="532" spans="1:45">
      <c r="A532" s="13">
        <v>33239</v>
      </c>
      <c r="B532" s="3">
        <v>60.923999999999999</v>
      </c>
      <c r="C532" s="24">
        <v>117940</v>
      </c>
      <c r="D532" s="24">
        <v>108997</v>
      </c>
      <c r="E532" s="2">
        <v>6.4</v>
      </c>
      <c r="F532" s="33">
        <v>4.5000999999999999E-2</v>
      </c>
      <c r="G532" s="33">
        <v>4.1517999999999999E-2</v>
      </c>
      <c r="H532" s="25">
        <v>9.0399999999999991</v>
      </c>
      <c r="I532" s="25">
        <v>10.45</v>
      </c>
      <c r="J532" s="25">
        <v>6.91</v>
      </c>
      <c r="K532" s="25">
        <v>7.23</v>
      </c>
      <c r="L532" s="25">
        <v>6.22</v>
      </c>
      <c r="M532" s="33">
        <v>87.9</v>
      </c>
      <c r="N532">
        <v>0.18525</v>
      </c>
      <c r="O532" s="31">
        <v>298.60000000000002</v>
      </c>
      <c r="P532" s="38">
        <v>222.905</v>
      </c>
      <c r="Q532" s="22">
        <v>0</v>
      </c>
      <c r="R532" s="38">
        <v>0.22134300000000001</v>
      </c>
      <c r="T532" s="2"/>
      <c r="U532" s="2"/>
      <c r="V532" s="24"/>
      <c r="W532" s="24"/>
      <c r="X532" s="24"/>
      <c r="Y532" s="24"/>
      <c r="Z532" s="24"/>
      <c r="AA532" s="24"/>
      <c r="AB532" s="24"/>
      <c r="AC532" s="25"/>
      <c r="AD532" s="25"/>
      <c r="AE532" s="25"/>
      <c r="AF532" s="25"/>
      <c r="AG532" s="25"/>
      <c r="AH532" s="16"/>
      <c r="AI532" s="25"/>
      <c r="AJ532" s="25"/>
      <c r="AL532" s="3"/>
      <c r="AM532" s="22"/>
      <c r="AN532" s="9"/>
      <c r="AO532" s="9"/>
      <c r="AP532" s="9"/>
      <c r="AQ532" s="9"/>
      <c r="AR532" s="2"/>
      <c r="AS532" s="31"/>
    </row>
    <row r="533" spans="1:45">
      <c r="A533" s="13">
        <v>33270</v>
      </c>
      <c r="B533" s="3">
        <v>60.533099999999997</v>
      </c>
      <c r="C533" s="24">
        <v>117755</v>
      </c>
      <c r="D533" s="24">
        <v>108692</v>
      </c>
      <c r="E533" s="2">
        <v>6.6</v>
      </c>
      <c r="F533" s="33">
        <v>7.1565000000000004E-2</v>
      </c>
      <c r="G533" s="33">
        <v>6.7280999999999994E-2</v>
      </c>
      <c r="H533" s="25">
        <v>8.83</v>
      </c>
      <c r="I533" s="25">
        <v>10.07</v>
      </c>
      <c r="J533" s="25">
        <v>6.25</v>
      </c>
      <c r="K533" s="25">
        <v>6.6</v>
      </c>
      <c r="L533" s="25">
        <v>5.94</v>
      </c>
      <c r="M533" s="33">
        <v>64.2</v>
      </c>
      <c r="N533">
        <v>-1.9876</v>
      </c>
      <c r="O533" s="31">
        <v>293.89999999999998</v>
      </c>
      <c r="P533" s="38">
        <v>154.20840000000001</v>
      </c>
      <c r="Q533" s="22">
        <v>-0.25142272016</v>
      </c>
      <c r="R533" s="38">
        <v>0.140539</v>
      </c>
      <c r="T533" s="2"/>
      <c r="U533" s="2"/>
      <c r="V533" s="24"/>
      <c r="W533" s="24"/>
      <c r="X533" s="24"/>
      <c r="Y533" s="24"/>
      <c r="Z533" s="24"/>
      <c r="AA533" s="24"/>
      <c r="AB533" s="24"/>
      <c r="AC533" s="25"/>
      <c r="AD533" s="25"/>
      <c r="AE533" s="25"/>
      <c r="AF533" s="25"/>
      <c r="AG533" s="25"/>
      <c r="AH533" s="16"/>
      <c r="AI533" s="25"/>
      <c r="AJ533" s="25"/>
      <c r="AL533" s="3"/>
      <c r="AM533" s="22"/>
      <c r="AN533" s="9"/>
      <c r="AO533" s="9"/>
      <c r="AP533" s="9"/>
      <c r="AQ533" s="9"/>
      <c r="AR533" s="2"/>
      <c r="AS533" s="31"/>
    </row>
    <row r="534" spans="1:45">
      <c r="A534" s="13">
        <v>33298</v>
      </c>
      <c r="B534" s="3">
        <v>60.218400000000003</v>
      </c>
      <c r="C534" s="24">
        <v>117652</v>
      </c>
      <c r="D534" s="24">
        <v>108534</v>
      </c>
      <c r="E534" s="2">
        <v>6.8</v>
      </c>
      <c r="F534" s="33">
        <v>2.4354000000000001E-2</v>
      </c>
      <c r="G534" s="33">
        <v>2.2203000000000001E-2</v>
      </c>
      <c r="H534" s="25">
        <v>8.93</v>
      </c>
      <c r="I534" s="25">
        <v>10.09</v>
      </c>
      <c r="J534" s="25">
        <v>6.12</v>
      </c>
      <c r="K534" s="25">
        <v>6.44</v>
      </c>
      <c r="L534" s="25">
        <v>5.91</v>
      </c>
      <c r="M534" s="33">
        <v>54.1</v>
      </c>
      <c r="N534">
        <v>1.5826</v>
      </c>
      <c r="O534" s="31">
        <v>292.39999999999998</v>
      </c>
      <c r="P534" s="38">
        <v>120.8609</v>
      </c>
      <c r="Q534" s="22">
        <v>0.227238254537</v>
      </c>
      <c r="R534" s="38">
        <v>9.5218999999999998E-2</v>
      </c>
      <c r="T534" s="2"/>
      <c r="U534" s="2"/>
      <c r="V534" s="24"/>
      <c r="W534" s="24"/>
      <c r="X534" s="24"/>
      <c r="Y534" s="24"/>
      <c r="Z534" s="24"/>
      <c r="AA534" s="24"/>
      <c r="AB534" s="24"/>
      <c r="AC534" s="25"/>
      <c r="AD534" s="25"/>
      <c r="AE534" s="25"/>
      <c r="AF534" s="25"/>
      <c r="AG534" s="25"/>
      <c r="AH534" s="16"/>
      <c r="AI534" s="25"/>
      <c r="AJ534" s="25"/>
      <c r="AL534" s="3"/>
      <c r="AM534" s="22"/>
      <c r="AN534" s="9"/>
      <c r="AO534" s="9"/>
      <c r="AP534" s="9"/>
      <c r="AQ534" s="9"/>
      <c r="AR534" s="2"/>
      <c r="AS534" s="31"/>
    </row>
    <row r="535" spans="1:45">
      <c r="A535" s="13">
        <v>33329</v>
      </c>
      <c r="B535" s="3">
        <v>60.317399999999999</v>
      </c>
      <c r="C535" s="24">
        <v>118109</v>
      </c>
      <c r="D535" s="24">
        <v>108322</v>
      </c>
      <c r="E535" s="2">
        <v>6.7</v>
      </c>
      <c r="F535" s="33">
        <v>2.2680000000000001E-3</v>
      </c>
      <c r="G535" s="33">
        <v>3.4600000000000001E-4</v>
      </c>
      <c r="H535" s="25">
        <v>8.86</v>
      </c>
      <c r="I535" s="25">
        <v>9.94</v>
      </c>
      <c r="J535" s="25">
        <v>5.91</v>
      </c>
      <c r="K535" s="25">
        <v>6.11</v>
      </c>
      <c r="L535" s="25">
        <v>5.65</v>
      </c>
      <c r="M535" s="33">
        <v>56.3</v>
      </c>
      <c r="N535">
        <v>0.64966999999999997</v>
      </c>
      <c r="O535" s="31">
        <v>294.7</v>
      </c>
      <c r="P535" s="38">
        <v>117.4965</v>
      </c>
      <c r="Q535" s="22">
        <v>0</v>
      </c>
      <c r="R535" s="38">
        <v>9.2632000000000006E-2</v>
      </c>
      <c r="T535" s="2"/>
      <c r="U535" s="2"/>
      <c r="V535" s="24"/>
      <c r="W535" s="24"/>
      <c r="X535" s="24"/>
      <c r="Y535" s="24"/>
      <c r="Z535" s="24"/>
      <c r="AA535" s="24"/>
      <c r="AB535" s="24"/>
      <c r="AC535" s="25"/>
      <c r="AD535" s="25"/>
      <c r="AE535" s="25"/>
      <c r="AF535" s="25"/>
      <c r="AG535" s="25"/>
      <c r="AH535" s="16"/>
      <c r="AI535" s="25"/>
      <c r="AJ535" s="25"/>
      <c r="AL535" s="3"/>
      <c r="AM535" s="22"/>
      <c r="AN535" s="9"/>
      <c r="AO535" s="9"/>
      <c r="AP535" s="9"/>
      <c r="AQ535" s="9"/>
      <c r="AR535" s="2"/>
      <c r="AS535" s="31"/>
    </row>
    <row r="536" spans="1:45">
      <c r="A536" s="13">
        <v>33359</v>
      </c>
      <c r="B536" s="3">
        <v>60.923999999999999</v>
      </c>
      <c r="C536" s="24">
        <v>117440</v>
      </c>
      <c r="D536" s="24">
        <v>108196</v>
      </c>
      <c r="E536" s="2">
        <v>6.9</v>
      </c>
      <c r="F536" s="33">
        <v>4.2930000000000003E-2</v>
      </c>
      <c r="G536" s="33">
        <v>3.8577E-2</v>
      </c>
      <c r="H536" s="25">
        <v>8.86</v>
      </c>
      <c r="I536" s="25">
        <v>9.86</v>
      </c>
      <c r="J536" s="25">
        <v>5.78</v>
      </c>
      <c r="K536" s="25">
        <v>5.94</v>
      </c>
      <c r="L536" s="25">
        <v>5.46</v>
      </c>
      <c r="M536" s="33">
        <v>58.8</v>
      </c>
      <c r="N536">
        <v>0.14788999999999999</v>
      </c>
      <c r="O536" s="31">
        <v>290.2</v>
      </c>
      <c r="P536" s="38">
        <v>109.12869999999999</v>
      </c>
      <c r="Q536" s="22">
        <v>0.26233321092</v>
      </c>
      <c r="R536" s="38">
        <v>0.107033</v>
      </c>
      <c r="T536" s="2"/>
      <c r="U536" s="2"/>
      <c r="V536" s="24"/>
      <c r="W536" s="24"/>
      <c r="X536" s="24"/>
      <c r="Y536" s="24"/>
      <c r="Z536" s="24"/>
      <c r="AA536" s="24"/>
      <c r="AB536" s="24"/>
      <c r="AC536" s="25"/>
      <c r="AD536" s="25"/>
      <c r="AE536" s="25"/>
      <c r="AF536" s="25"/>
      <c r="AG536" s="25"/>
      <c r="AH536" s="16"/>
      <c r="AI536" s="25"/>
      <c r="AJ536" s="25"/>
      <c r="AL536" s="3"/>
      <c r="AM536" s="22"/>
      <c r="AN536" s="9"/>
      <c r="AO536" s="9"/>
      <c r="AP536" s="9"/>
      <c r="AQ536" s="9"/>
      <c r="AR536" s="2"/>
      <c r="AS536" s="31"/>
    </row>
    <row r="537" spans="1:45">
      <c r="A537" s="13">
        <v>33390</v>
      </c>
      <c r="B537" s="3">
        <v>61.5212</v>
      </c>
      <c r="C537" s="24">
        <v>117639</v>
      </c>
      <c r="D537" s="24">
        <v>108286</v>
      </c>
      <c r="E537" s="2">
        <v>6.9</v>
      </c>
      <c r="F537" s="33">
        <v>-4.5357000000000001E-2</v>
      </c>
      <c r="G537" s="33">
        <v>-4.7892999999999998E-2</v>
      </c>
      <c r="H537" s="25">
        <v>9.01</v>
      </c>
      <c r="I537" s="25">
        <v>9.9600000000000009</v>
      </c>
      <c r="J537" s="25">
        <v>5.9</v>
      </c>
      <c r="K537" s="25">
        <v>6.08</v>
      </c>
      <c r="L537" s="25">
        <v>5.57</v>
      </c>
      <c r="M537" s="33">
        <v>56.2</v>
      </c>
      <c r="N537">
        <v>2.1915</v>
      </c>
      <c r="O537" s="31">
        <v>285.39999999999998</v>
      </c>
      <c r="P537" s="38">
        <v>125.17059999999999</v>
      </c>
      <c r="Q537" s="22">
        <v>0</v>
      </c>
      <c r="R537" s="38">
        <v>3.3244000000000003E-2</v>
      </c>
      <c r="T537" s="2"/>
      <c r="U537" s="2"/>
      <c r="V537" s="24"/>
      <c r="W537" s="24"/>
      <c r="X537" s="24"/>
      <c r="Y537" s="24"/>
      <c r="Z537" s="24"/>
      <c r="AA537" s="24"/>
      <c r="AB537" s="24"/>
      <c r="AC537" s="25"/>
      <c r="AD537" s="25"/>
      <c r="AE537" s="25"/>
      <c r="AF537" s="25"/>
      <c r="AG537" s="25"/>
      <c r="AH537" s="16"/>
      <c r="AI537" s="25"/>
      <c r="AJ537" s="25"/>
      <c r="AL537" s="3"/>
      <c r="AM537" s="22"/>
      <c r="AN537" s="9"/>
      <c r="AO537" s="9"/>
      <c r="AP537" s="9"/>
      <c r="AQ537" s="9"/>
      <c r="AR537" s="2"/>
      <c r="AS537" s="31"/>
    </row>
    <row r="538" spans="1:45">
      <c r="A538" s="13">
        <v>33420</v>
      </c>
      <c r="B538" s="3">
        <v>61.505099999999999</v>
      </c>
      <c r="C538" s="24">
        <v>117568</v>
      </c>
      <c r="D538" s="24">
        <v>108236</v>
      </c>
      <c r="E538" s="2">
        <v>6.8</v>
      </c>
      <c r="F538" s="33">
        <v>4.6525999999999998E-2</v>
      </c>
      <c r="G538" s="33">
        <v>4.4859000000000003E-2</v>
      </c>
      <c r="H538" s="25">
        <v>9</v>
      </c>
      <c r="I538" s="25">
        <v>9.89</v>
      </c>
      <c r="J538" s="25">
        <v>5.82</v>
      </c>
      <c r="K538" s="25">
        <v>6.01</v>
      </c>
      <c r="L538" s="25">
        <v>5.58</v>
      </c>
      <c r="M538" s="33">
        <v>59.3</v>
      </c>
      <c r="N538">
        <v>0.36653999999999998</v>
      </c>
      <c r="O538" s="31">
        <v>279.8</v>
      </c>
      <c r="P538" s="38">
        <v>121.81950000000001</v>
      </c>
      <c r="Q538" s="22">
        <v>-7.6714431122000007E-2</v>
      </c>
      <c r="R538" s="38">
        <v>0.115996</v>
      </c>
      <c r="T538" s="2"/>
      <c r="U538" s="2"/>
      <c r="V538" s="24"/>
      <c r="W538" s="24"/>
      <c r="X538" s="24"/>
      <c r="Y538" s="24"/>
      <c r="Z538" s="24"/>
      <c r="AA538" s="24"/>
      <c r="AB538" s="24"/>
      <c r="AC538" s="25"/>
      <c r="AD538" s="25"/>
      <c r="AE538" s="25"/>
      <c r="AF538" s="25"/>
      <c r="AG538" s="25"/>
      <c r="AH538" s="16"/>
      <c r="AI538" s="25"/>
      <c r="AJ538" s="25"/>
      <c r="AL538" s="3"/>
      <c r="AM538" s="22"/>
      <c r="AN538" s="9"/>
      <c r="AO538" s="9"/>
      <c r="AP538" s="9"/>
      <c r="AQ538" s="9"/>
      <c r="AR538" s="2"/>
      <c r="AS538" s="31"/>
    </row>
    <row r="539" spans="1:45">
      <c r="A539" s="13">
        <v>33451</v>
      </c>
      <c r="B539" s="3">
        <v>61.596899999999998</v>
      </c>
      <c r="C539" s="24">
        <v>117484</v>
      </c>
      <c r="D539" s="24">
        <v>108255</v>
      </c>
      <c r="E539" s="2">
        <v>6.9</v>
      </c>
      <c r="F539" s="33">
        <v>2.3885E-2</v>
      </c>
      <c r="G539" s="33">
        <v>1.9649E-2</v>
      </c>
      <c r="H539" s="25">
        <v>8.75</v>
      </c>
      <c r="I539" s="25">
        <v>9.65</v>
      </c>
      <c r="J539" s="25">
        <v>5.66</v>
      </c>
      <c r="K539" s="25">
        <v>5.65</v>
      </c>
      <c r="L539" s="25">
        <v>5.33</v>
      </c>
      <c r="M539" s="33">
        <v>60.4</v>
      </c>
      <c r="N539">
        <v>-3.7040999999999998E-2</v>
      </c>
      <c r="O539" s="31">
        <v>276.89999999999998</v>
      </c>
      <c r="P539" s="38">
        <v>127.69070000000001</v>
      </c>
      <c r="Q539" s="22">
        <v>0.14046333830999999</v>
      </c>
      <c r="R539" s="38">
        <v>7.5225E-2</v>
      </c>
      <c r="T539" s="2"/>
      <c r="U539" s="2"/>
      <c r="V539" s="24"/>
      <c r="W539" s="24"/>
      <c r="X539" s="24"/>
      <c r="Y539" s="24"/>
      <c r="Z539" s="24"/>
      <c r="AA539" s="24"/>
      <c r="AB539" s="24"/>
      <c r="AC539" s="25"/>
      <c r="AD539" s="25"/>
      <c r="AE539" s="25"/>
      <c r="AF539" s="25"/>
      <c r="AG539" s="25"/>
      <c r="AH539" s="16"/>
      <c r="AI539" s="25"/>
      <c r="AJ539" s="25"/>
      <c r="AL539" s="3"/>
      <c r="AM539" s="22"/>
      <c r="AN539" s="9"/>
      <c r="AO539" s="9"/>
      <c r="AP539" s="9"/>
      <c r="AQ539" s="9"/>
      <c r="AR539" s="2"/>
      <c r="AS539" s="31"/>
    </row>
    <row r="540" spans="1:45">
      <c r="A540" s="13">
        <v>33482</v>
      </c>
      <c r="B540" s="3">
        <v>62.133800000000001</v>
      </c>
      <c r="C540" s="24">
        <v>117928</v>
      </c>
      <c r="D540" s="24">
        <v>108289</v>
      </c>
      <c r="E540" s="2">
        <v>6.9</v>
      </c>
      <c r="F540" s="33">
        <v>-1.6861000000000001E-2</v>
      </c>
      <c r="G540" s="33">
        <v>-1.9144000000000001E-2</v>
      </c>
      <c r="H540" s="25">
        <v>8.61</v>
      </c>
      <c r="I540" s="25">
        <v>9.51</v>
      </c>
      <c r="J540" s="25">
        <v>5.45</v>
      </c>
      <c r="K540" s="25">
        <v>5.5</v>
      </c>
      <c r="L540" s="25">
        <v>5.22</v>
      </c>
      <c r="M540" s="33">
        <v>60.4</v>
      </c>
      <c r="N540">
        <v>-0.17047999999999999</v>
      </c>
      <c r="O540" s="31">
        <v>271.89999999999998</v>
      </c>
      <c r="P540" s="38">
        <v>155.65020000000001</v>
      </c>
      <c r="Q540" s="22">
        <v>0</v>
      </c>
      <c r="R540" s="38">
        <v>8.9255000000000001E-2</v>
      </c>
      <c r="T540" s="2"/>
      <c r="U540" s="2"/>
      <c r="V540" s="24"/>
      <c r="W540" s="24"/>
      <c r="X540" s="24"/>
      <c r="Y540" s="24"/>
      <c r="Z540" s="24"/>
      <c r="AA540" s="24"/>
      <c r="AB540" s="24"/>
      <c r="AC540" s="25"/>
      <c r="AD540" s="25"/>
      <c r="AE540" s="25"/>
      <c r="AF540" s="25"/>
      <c r="AG540" s="25"/>
      <c r="AH540" s="16"/>
      <c r="AI540" s="25"/>
      <c r="AJ540" s="25"/>
      <c r="AL540" s="3"/>
      <c r="AM540" s="22"/>
      <c r="AN540" s="9"/>
      <c r="AO540" s="9"/>
      <c r="AP540" s="9"/>
      <c r="AQ540" s="9"/>
      <c r="AR540" s="2"/>
      <c r="AS540" s="31"/>
    </row>
    <row r="541" spans="1:45">
      <c r="A541" s="13">
        <v>33512</v>
      </c>
      <c r="B541" s="3">
        <v>61.997900000000001</v>
      </c>
      <c r="C541" s="24">
        <v>117800</v>
      </c>
      <c r="D541" s="24">
        <v>108305</v>
      </c>
      <c r="E541" s="2">
        <v>7</v>
      </c>
      <c r="F541" s="33">
        <v>1.3457999999999999E-2</v>
      </c>
      <c r="G541" s="33">
        <v>1.1860000000000001E-2</v>
      </c>
      <c r="H541" s="25">
        <v>8.5500000000000007</v>
      </c>
      <c r="I541" s="25">
        <v>9.49</v>
      </c>
      <c r="J541" s="25">
        <v>5.21</v>
      </c>
      <c r="K541" s="25">
        <v>5.34</v>
      </c>
      <c r="L541" s="25">
        <v>4.99</v>
      </c>
      <c r="M541" s="33">
        <v>66.3</v>
      </c>
      <c r="N541">
        <v>-0.26748</v>
      </c>
      <c r="O541" s="31">
        <v>271.7</v>
      </c>
      <c r="P541" s="38">
        <v>134.96940000000001</v>
      </c>
      <c r="Q541" s="22">
        <v>-3.4723720800000003E-2</v>
      </c>
      <c r="R541" s="38">
        <v>8.6250999999999994E-2</v>
      </c>
      <c r="T541" s="2"/>
      <c r="U541" s="2"/>
      <c r="V541" s="24"/>
      <c r="W541" s="24"/>
      <c r="X541" s="24"/>
      <c r="Y541" s="24"/>
      <c r="Z541" s="24"/>
      <c r="AA541" s="24"/>
      <c r="AB541" s="24"/>
      <c r="AC541" s="25"/>
      <c r="AD541" s="25"/>
      <c r="AE541" s="25"/>
      <c r="AF541" s="25"/>
      <c r="AG541" s="25"/>
      <c r="AH541" s="16"/>
      <c r="AI541" s="25"/>
      <c r="AJ541" s="25"/>
      <c r="AL541" s="3"/>
      <c r="AM541" s="22"/>
      <c r="AN541" s="9"/>
      <c r="AO541" s="9"/>
      <c r="AP541" s="9"/>
      <c r="AQ541" s="9"/>
      <c r="AR541" s="2"/>
      <c r="AS541" s="31"/>
    </row>
    <row r="542" spans="1:45">
      <c r="A542" s="13">
        <v>33543</v>
      </c>
      <c r="B542" s="3">
        <v>61.930999999999997</v>
      </c>
      <c r="C542" s="24">
        <v>117770</v>
      </c>
      <c r="D542" s="24">
        <v>108248</v>
      </c>
      <c r="E542" s="2">
        <v>7</v>
      </c>
      <c r="F542" s="33">
        <v>-4.0214E-2</v>
      </c>
      <c r="G542" s="33">
        <v>-4.3928000000000002E-2</v>
      </c>
      <c r="H542" s="25">
        <v>8.48</v>
      </c>
      <c r="I542" s="25">
        <v>9.4499999999999993</v>
      </c>
      <c r="J542" s="25">
        <v>4.8099999999999996</v>
      </c>
      <c r="K542" s="25">
        <v>4.96</v>
      </c>
      <c r="L542" s="25">
        <v>4.5599999999999996</v>
      </c>
      <c r="M542" s="33">
        <v>64</v>
      </c>
      <c r="N542">
        <v>-1.4971000000000001</v>
      </c>
      <c r="O542" s="31">
        <v>271</v>
      </c>
      <c r="P542" s="38">
        <v>144.27879999999999</v>
      </c>
      <c r="Q542" s="22">
        <v>-0.12081831682700001</v>
      </c>
      <c r="R542" s="38">
        <v>9.6390000000000003E-2</v>
      </c>
      <c r="T542" s="2"/>
      <c r="U542" s="2"/>
      <c r="V542" s="24"/>
      <c r="W542" s="24"/>
      <c r="X542" s="24"/>
      <c r="Y542" s="24"/>
      <c r="Z542" s="24"/>
      <c r="AA542" s="24"/>
      <c r="AB542" s="24"/>
      <c r="AC542" s="25"/>
      <c r="AD542" s="25"/>
      <c r="AE542" s="25"/>
      <c r="AF542" s="25"/>
      <c r="AG542" s="25"/>
      <c r="AH542" s="16"/>
      <c r="AI542" s="25"/>
      <c r="AJ542" s="25"/>
      <c r="AL542" s="3"/>
      <c r="AM542" s="22"/>
      <c r="AN542" s="9"/>
      <c r="AO542" s="9"/>
      <c r="AP542" s="9"/>
      <c r="AQ542" s="9"/>
      <c r="AR542" s="2"/>
      <c r="AS542" s="31"/>
    </row>
    <row r="543" spans="1:45">
      <c r="A543" s="13">
        <v>33573</v>
      </c>
      <c r="B543" s="3">
        <v>61.705199999999998</v>
      </c>
      <c r="C543" s="24">
        <v>117466</v>
      </c>
      <c r="D543" s="24">
        <v>108272</v>
      </c>
      <c r="E543" s="2">
        <v>7.3</v>
      </c>
      <c r="F543" s="33">
        <v>0.114089</v>
      </c>
      <c r="G543" s="33">
        <v>0.11158800000000001</v>
      </c>
      <c r="H543" s="25">
        <v>8.31</v>
      </c>
      <c r="I543" s="25">
        <v>9.26</v>
      </c>
      <c r="J543" s="25">
        <v>4.43</v>
      </c>
      <c r="K543" s="25">
        <v>4.4800000000000004</v>
      </c>
      <c r="L543" s="25">
        <v>4.07</v>
      </c>
      <c r="M543" s="33">
        <v>55.1</v>
      </c>
      <c r="N543">
        <v>-1.5442</v>
      </c>
      <c r="O543" s="31">
        <v>269.2</v>
      </c>
      <c r="P543" s="38">
        <v>171.9136</v>
      </c>
      <c r="Q543" s="22">
        <v>0.112804064197</v>
      </c>
      <c r="R543" s="38">
        <v>2.8323000000000001E-2</v>
      </c>
      <c r="T543" s="2"/>
      <c r="U543" s="2"/>
      <c r="V543" s="24"/>
      <c r="W543" s="24"/>
      <c r="X543" s="24"/>
      <c r="Y543" s="24"/>
      <c r="Z543" s="24"/>
      <c r="AA543" s="24"/>
      <c r="AB543" s="24"/>
      <c r="AC543" s="25"/>
      <c r="AD543" s="25"/>
      <c r="AE543" s="25"/>
      <c r="AF543" s="25"/>
      <c r="AG543" s="25"/>
      <c r="AH543" s="16"/>
      <c r="AI543" s="25"/>
      <c r="AJ543" s="25"/>
      <c r="AL543" s="3"/>
      <c r="AM543" s="22"/>
      <c r="AN543" s="9"/>
      <c r="AO543" s="9"/>
      <c r="AP543" s="9"/>
      <c r="AQ543" s="9"/>
      <c r="AR543" s="2"/>
      <c r="AS543" s="31"/>
    </row>
    <row r="544" spans="1:45">
      <c r="A544" s="13">
        <v>33604</v>
      </c>
      <c r="B544" s="3">
        <v>61.318199999999997</v>
      </c>
      <c r="C544" s="24">
        <v>117978</v>
      </c>
      <c r="D544" s="24">
        <v>108324</v>
      </c>
      <c r="E544" s="2">
        <v>7.3</v>
      </c>
      <c r="F544" s="33">
        <v>-1.8348E-2</v>
      </c>
      <c r="G544" s="33">
        <v>-1.9900000000000001E-2</v>
      </c>
      <c r="H544" s="25">
        <v>8.1999999999999993</v>
      </c>
      <c r="I544" s="25">
        <v>9.1300000000000008</v>
      </c>
      <c r="J544" s="25">
        <v>4.03</v>
      </c>
      <c r="K544" s="25">
        <v>4.0599999999999996</v>
      </c>
      <c r="L544" s="25">
        <v>3.8</v>
      </c>
      <c r="M544" s="33">
        <v>51.3</v>
      </c>
      <c r="N544">
        <v>-1.3434999999999999</v>
      </c>
      <c r="O544" s="31">
        <v>265.60000000000002</v>
      </c>
      <c r="P544" s="38">
        <v>116.5001</v>
      </c>
      <c r="Q544" s="22">
        <v>0</v>
      </c>
      <c r="R544" s="38">
        <v>-3.9405000000000003E-2</v>
      </c>
      <c r="T544" s="2"/>
      <c r="U544" s="2"/>
      <c r="V544" s="24"/>
      <c r="W544" s="24"/>
      <c r="X544" s="24"/>
      <c r="Y544" s="24"/>
      <c r="Z544" s="24"/>
      <c r="AA544" s="24"/>
      <c r="AB544" s="24"/>
      <c r="AC544" s="25"/>
      <c r="AD544" s="25"/>
      <c r="AE544" s="25"/>
      <c r="AF544" s="25"/>
      <c r="AG544" s="25"/>
      <c r="AH544" s="16"/>
      <c r="AI544" s="25"/>
      <c r="AJ544" s="25"/>
      <c r="AL544" s="3"/>
      <c r="AM544" s="22"/>
      <c r="AN544" s="9"/>
      <c r="AO544" s="9"/>
      <c r="AP544" s="9"/>
      <c r="AQ544" s="9"/>
      <c r="AR544" s="2"/>
      <c r="AS544" s="31"/>
    </row>
    <row r="545" spans="1:45">
      <c r="A545" s="13">
        <v>33635</v>
      </c>
      <c r="B545" s="3">
        <v>61.796900000000001</v>
      </c>
      <c r="C545" s="24">
        <v>117753</v>
      </c>
      <c r="D545" s="24">
        <v>108257</v>
      </c>
      <c r="E545" s="2">
        <v>7.4</v>
      </c>
      <c r="F545" s="33">
        <v>1.2865E-2</v>
      </c>
      <c r="G545" s="33">
        <v>9.5650000000000006E-3</v>
      </c>
      <c r="H545" s="25">
        <v>8.2899999999999991</v>
      </c>
      <c r="I545" s="25">
        <v>9.23</v>
      </c>
      <c r="J545" s="25">
        <v>4.0599999999999996</v>
      </c>
      <c r="K545" s="25">
        <v>4.05</v>
      </c>
      <c r="L545" s="25">
        <v>3.84</v>
      </c>
      <c r="M545" s="33">
        <v>53.5</v>
      </c>
      <c r="N545">
        <v>0.87444</v>
      </c>
      <c r="O545" s="31">
        <v>262.8</v>
      </c>
      <c r="P545" s="38">
        <v>150.51769999999999</v>
      </c>
      <c r="Q545" s="22">
        <v>-3.9687169289999999E-3</v>
      </c>
      <c r="R545" s="38">
        <v>-1.2706E-2</v>
      </c>
      <c r="T545" s="2"/>
      <c r="U545" s="2"/>
      <c r="V545" s="24"/>
      <c r="W545" s="24"/>
      <c r="X545" s="24"/>
      <c r="Y545" s="24"/>
      <c r="Z545" s="24"/>
      <c r="AA545" s="24"/>
      <c r="AB545" s="24"/>
      <c r="AC545" s="25"/>
      <c r="AD545" s="25"/>
      <c r="AE545" s="25"/>
      <c r="AF545" s="25"/>
      <c r="AG545" s="25"/>
      <c r="AH545" s="16"/>
      <c r="AI545" s="25"/>
      <c r="AJ545" s="25"/>
      <c r="AL545" s="3"/>
      <c r="AM545" s="22"/>
      <c r="AN545" s="9"/>
      <c r="AO545" s="9"/>
      <c r="AP545" s="9"/>
      <c r="AQ545" s="9"/>
      <c r="AR545" s="2"/>
      <c r="AS545" s="31"/>
    </row>
    <row r="546" spans="1:45">
      <c r="A546" s="13">
        <v>33664</v>
      </c>
      <c r="B546" s="3">
        <v>62.2883</v>
      </c>
      <c r="C546" s="24">
        <v>118144</v>
      </c>
      <c r="D546" s="24">
        <v>108313</v>
      </c>
      <c r="E546" s="2">
        <v>7.4</v>
      </c>
      <c r="F546" s="33">
        <v>-1.9470000000000001E-2</v>
      </c>
      <c r="G546" s="33">
        <v>-2.1832000000000001E-2</v>
      </c>
      <c r="H546" s="25">
        <v>8.35</v>
      </c>
      <c r="I546" s="25">
        <v>9.25</v>
      </c>
      <c r="J546" s="25">
        <v>3.98</v>
      </c>
      <c r="K546" s="25">
        <v>4.26</v>
      </c>
      <c r="L546" s="25">
        <v>4.04</v>
      </c>
      <c r="M546" s="33">
        <v>51</v>
      </c>
      <c r="N546">
        <v>0.25556000000000001</v>
      </c>
      <c r="O546" s="31">
        <v>268</v>
      </c>
      <c r="P546" s="38">
        <v>134.52119999999999</v>
      </c>
      <c r="Q546" s="22">
        <v>-0.12637625605899999</v>
      </c>
      <c r="R546" s="38">
        <v>-3.7614000000000002E-2</v>
      </c>
      <c r="T546" s="2"/>
      <c r="U546" s="2"/>
      <c r="V546" s="24"/>
      <c r="W546" s="24"/>
      <c r="X546" s="24"/>
      <c r="Y546" s="24"/>
      <c r="Z546" s="24"/>
      <c r="AA546" s="24"/>
      <c r="AB546" s="24"/>
      <c r="AC546" s="25"/>
      <c r="AD546" s="25"/>
      <c r="AE546" s="25"/>
      <c r="AF546" s="25"/>
      <c r="AG546" s="25"/>
      <c r="AH546" s="16"/>
      <c r="AI546" s="25"/>
      <c r="AJ546" s="25"/>
      <c r="AL546" s="3"/>
      <c r="AM546" s="22"/>
      <c r="AN546" s="9"/>
      <c r="AO546" s="9"/>
      <c r="AP546" s="9"/>
      <c r="AQ546" s="9"/>
      <c r="AR546" s="2"/>
      <c r="AS546" s="31"/>
    </row>
    <row r="547" spans="1:45">
      <c r="A547" s="13">
        <v>33695</v>
      </c>
      <c r="B547" s="3">
        <v>62.732599999999998</v>
      </c>
      <c r="C547" s="24">
        <v>118426</v>
      </c>
      <c r="D547" s="24">
        <v>108472</v>
      </c>
      <c r="E547" s="2">
        <v>7.4</v>
      </c>
      <c r="F547" s="33">
        <v>2.8614000000000001E-2</v>
      </c>
      <c r="G547" s="33">
        <v>2.7893000000000001E-2</v>
      </c>
      <c r="H547" s="25">
        <v>8.33</v>
      </c>
      <c r="I547" s="25">
        <v>9.2100000000000009</v>
      </c>
      <c r="J547" s="25">
        <v>3.73</v>
      </c>
      <c r="K547" s="25">
        <v>4.05</v>
      </c>
      <c r="L547" s="25">
        <v>3.75</v>
      </c>
      <c r="M547" s="33">
        <v>56</v>
      </c>
      <c r="N547">
        <v>-1.81</v>
      </c>
      <c r="O547" s="31">
        <v>278.10000000000002</v>
      </c>
      <c r="P547" s="38">
        <v>97.893299999999996</v>
      </c>
      <c r="Q547" s="22">
        <v>0</v>
      </c>
      <c r="R547" s="38">
        <v>-1.4777E-2</v>
      </c>
      <c r="T547" s="2"/>
      <c r="U547" s="2"/>
      <c r="V547" s="24"/>
      <c r="W547" s="24"/>
      <c r="X547" s="24"/>
      <c r="Y547" s="24"/>
      <c r="Z547" s="24"/>
      <c r="AA547" s="24"/>
      <c r="AB547" s="24"/>
      <c r="AC547" s="25"/>
      <c r="AD547" s="25"/>
      <c r="AE547" s="25"/>
      <c r="AF547" s="25"/>
      <c r="AG547" s="25"/>
      <c r="AH547" s="16"/>
      <c r="AI547" s="25"/>
      <c r="AJ547" s="25"/>
      <c r="AL547" s="3"/>
      <c r="AM547" s="22"/>
      <c r="AN547" s="9"/>
      <c r="AO547" s="9"/>
      <c r="AP547" s="9"/>
      <c r="AQ547" s="9"/>
      <c r="AR547" s="2"/>
      <c r="AS547" s="31"/>
    </row>
    <row r="548" spans="1:45">
      <c r="A548" s="13">
        <v>33725</v>
      </c>
      <c r="B548" s="3">
        <v>62.955800000000004</v>
      </c>
      <c r="C548" s="24">
        <v>118375</v>
      </c>
      <c r="D548" s="24">
        <v>108598</v>
      </c>
      <c r="E548" s="2">
        <v>7.6</v>
      </c>
      <c r="F548" s="33">
        <v>4.8500000000000001E-3</v>
      </c>
      <c r="G548" s="33">
        <v>9.6400000000000001E-4</v>
      </c>
      <c r="H548" s="25">
        <v>8.2799999999999994</v>
      </c>
      <c r="I548" s="25">
        <v>9.1300000000000008</v>
      </c>
      <c r="J548" s="25">
        <v>3.82</v>
      </c>
      <c r="K548" s="25">
        <v>3.84</v>
      </c>
      <c r="L548" s="25">
        <v>3.63</v>
      </c>
      <c r="M548" s="33">
        <v>59.2</v>
      </c>
      <c r="N548">
        <v>0.52329000000000003</v>
      </c>
      <c r="O548" s="31">
        <v>281.5</v>
      </c>
      <c r="P548" s="38">
        <v>99.715109999999996</v>
      </c>
      <c r="Q548" s="22">
        <v>0.14817133250799999</v>
      </c>
      <c r="R548" s="38">
        <v>-9.6223000000000003E-2</v>
      </c>
      <c r="T548" s="2"/>
      <c r="U548" s="2"/>
      <c r="V548" s="24"/>
      <c r="W548" s="24"/>
      <c r="X548" s="24"/>
      <c r="Y548" s="24"/>
      <c r="Z548" s="24"/>
      <c r="AA548" s="24"/>
      <c r="AB548" s="24"/>
      <c r="AC548" s="25"/>
      <c r="AD548" s="25"/>
      <c r="AE548" s="25"/>
      <c r="AF548" s="25"/>
      <c r="AG548" s="25"/>
      <c r="AH548" s="16"/>
      <c r="AI548" s="25"/>
      <c r="AJ548" s="25"/>
      <c r="AL548" s="3"/>
      <c r="AM548" s="22"/>
      <c r="AN548" s="9"/>
      <c r="AO548" s="9"/>
      <c r="AP548" s="9"/>
      <c r="AQ548" s="9"/>
      <c r="AR548" s="2"/>
      <c r="AS548" s="31"/>
    </row>
    <row r="549" spans="1:45">
      <c r="A549" s="13">
        <v>33756</v>
      </c>
      <c r="B549" s="3">
        <v>62.952100000000002</v>
      </c>
      <c r="C549" s="24">
        <v>118419</v>
      </c>
      <c r="D549" s="24">
        <v>108659</v>
      </c>
      <c r="E549" s="2">
        <v>7.8</v>
      </c>
      <c r="F549" s="33">
        <v>-1.503E-2</v>
      </c>
      <c r="G549" s="33">
        <v>-1.7358999999999999E-2</v>
      </c>
      <c r="H549" s="25">
        <v>8.2200000000000006</v>
      </c>
      <c r="I549" s="25">
        <v>9.0500000000000007</v>
      </c>
      <c r="J549" s="25">
        <v>3.76</v>
      </c>
      <c r="K549" s="25">
        <v>3.87</v>
      </c>
      <c r="L549" s="25">
        <v>3.66</v>
      </c>
      <c r="M549" s="33">
        <v>64.3</v>
      </c>
      <c r="N549">
        <v>-0.51383999999999996</v>
      </c>
      <c r="O549" s="31">
        <v>284.2</v>
      </c>
      <c r="P549" s="38">
        <v>138.5651</v>
      </c>
      <c r="Q549" s="22">
        <v>0</v>
      </c>
      <c r="R549" s="38">
        <v>-0.14830599999999999</v>
      </c>
      <c r="T549" s="2"/>
      <c r="U549" s="2"/>
      <c r="V549" s="24"/>
      <c r="W549" s="24"/>
      <c r="X549" s="24"/>
      <c r="Y549" s="24"/>
      <c r="Z549" s="24"/>
      <c r="AA549" s="24"/>
      <c r="AB549" s="24"/>
      <c r="AC549" s="25"/>
      <c r="AD549" s="25"/>
      <c r="AE549" s="25"/>
      <c r="AF549" s="25"/>
      <c r="AG549" s="25"/>
      <c r="AH549" s="16"/>
      <c r="AI549" s="25"/>
      <c r="AJ549" s="25"/>
      <c r="AL549" s="3"/>
      <c r="AM549" s="22"/>
      <c r="AN549" s="9"/>
      <c r="AO549" s="9"/>
      <c r="AP549" s="9"/>
      <c r="AQ549" s="9"/>
      <c r="AR549" s="2"/>
      <c r="AS549" s="31"/>
    </row>
    <row r="550" spans="1:45">
      <c r="A550" s="13">
        <v>33786</v>
      </c>
      <c r="B550" s="3">
        <v>63.496499999999997</v>
      </c>
      <c r="C550" s="24">
        <v>118713</v>
      </c>
      <c r="D550" s="24">
        <v>108731</v>
      </c>
      <c r="E550" s="2">
        <v>7.7</v>
      </c>
      <c r="F550" s="33">
        <v>4.0924000000000002E-2</v>
      </c>
      <c r="G550" s="33">
        <v>3.9373999999999999E-2</v>
      </c>
      <c r="H550" s="25">
        <v>8.07</v>
      </c>
      <c r="I550" s="25">
        <v>8.84</v>
      </c>
      <c r="J550" s="25">
        <v>3.25</v>
      </c>
      <c r="K550" s="25">
        <v>3.4</v>
      </c>
      <c r="L550" s="25">
        <v>3.21</v>
      </c>
      <c r="M550" s="33">
        <v>61.9</v>
      </c>
      <c r="N550">
        <v>-3.1631</v>
      </c>
      <c r="O550" s="31">
        <v>285.7</v>
      </c>
      <c r="P550" s="38">
        <v>129.70859999999999</v>
      </c>
      <c r="Q550" s="22">
        <v>-8.7779002007999998E-2</v>
      </c>
      <c r="R550" s="38">
        <v>-0.233214</v>
      </c>
      <c r="T550" s="2"/>
      <c r="U550" s="2"/>
      <c r="V550" s="24"/>
      <c r="W550" s="24"/>
      <c r="X550" s="24"/>
      <c r="Y550" s="24"/>
      <c r="Z550" s="24"/>
      <c r="AA550" s="24"/>
      <c r="AB550" s="24"/>
      <c r="AC550" s="25"/>
      <c r="AD550" s="25"/>
      <c r="AE550" s="25"/>
      <c r="AF550" s="25"/>
      <c r="AG550" s="25"/>
      <c r="AH550" s="16"/>
      <c r="AI550" s="25"/>
      <c r="AJ550" s="25"/>
      <c r="AL550" s="3"/>
      <c r="AM550" s="22"/>
      <c r="AN550" s="9"/>
      <c r="AO550" s="9"/>
      <c r="AP550" s="9"/>
      <c r="AQ550" s="9"/>
      <c r="AR550" s="2"/>
      <c r="AS550" s="31"/>
    </row>
    <row r="551" spans="1:45">
      <c r="A551" s="13">
        <v>33817</v>
      </c>
      <c r="B551" s="3">
        <v>63.178699999999999</v>
      </c>
      <c r="C551" s="24">
        <v>118826</v>
      </c>
      <c r="D551" s="24">
        <v>108872</v>
      </c>
      <c r="E551" s="2">
        <v>7.6</v>
      </c>
      <c r="F551" s="33">
        <v>-2.0615000000000001E-2</v>
      </c>
      <c r="G551" s="33">
        <v>-2.3997999999999998E-2</v>
      </c>
      <c r="H551" s="25">
        <v>7.95</v>
      </c>
      <c r="I551" s="25">
        <v>8.65</v>
      </c>
      <c r="J551" s="25">
        <v>3.3</v>
      </c>
      <c r="K551" s="25">
        <v>3.33</v>
      </c>
      <c r="L551" s="25">
        <v>3.13</v>
      </c>
      <c r="M551" s="33">
        <v>60.5</v>
      </c>
      <c r="N551">
        <v>0.81420999999999999</v>
      </c>
      <c r="O551" s="31">
        <v>283.10000000000002</v>
      </c>
      <c r="P551" s="38">
        <v>135.2611</v>
      </c>
      <c r="Q551" s="22">
        <v>-2.597683211E-3</v>
      </c>
      <c r="R551" s="38">
        <v>-6.3022999999999996E-2</v>
      </c>
      <c r="T551" s="2"/>
      <c r="U551" s="2"/>
      <c r="V551" s="24"/>
      <c r="W551" s="24"/>
      <c r="X551" s="24"/>
      <c r="Y551" s="24"/>
      <c r="Z551" s="24"/>
      <c r="AA551" s="24"/>
      <c r="AB551" s="24"/>
      <c r="AC551" s="25"/>
      <c r="AD551" s="25"/>
      <c r="AE551" s="25"/>
      <c r="AF551" s="25"/>
      <c r="AG551" s="25"/>
      <c r="AH551" s="16"/>
      <c r="AI551" s="25"/>
      <c r="AJ551" s="25"/>
      <c r="AL551" s="3"/>
      <c r="AM551" s="22"/>
      <c r="AN551" s="9"/>
      <c r="AO551" s="9"/>
      <c r="AP551" s="9"/>
      <c r="AQ551" s="9"/>
      <c r="AR551" s="2"/>
      <c r="AS551" s="31"/>
    </row>
    <row r="552" spans="1:45">
      <c r="A552" s="13">
        <v>33848</v>
      </c>
      <c r="B552" s="3">
        <v>63.314799999999998</v>
      </c>
      <c r="C552" s="24">
        <v>118720</v>
      </c>
      <c r="D552" s="24">
        <v>108909</v>
      </c>
      <c r="E552" s="2">
        <v>7.6</v>
      </c>
      <c r="F552" s="33">
        <v>1.1339999999999999E-2</v>
      </c>
      <c r="G552" s="33">
        <v>9.1059999999999995E-3</v>
      </c>
      <c r="H552" s="25">
        <v>7.92</v>
      </c>
      <c r="I552" s="25">
        <v>8.6199999999999992</v>
      </c>
      <c r="J552" s="25">
        <v>3.22</v>
      </c>
      <c r="K552" s="25">
        <v>3.15</v>
      </c>
      <c r="L552" s="25">
        <v>2.91</v>
      </c>
      <c r="M552" s="33">
        <v>63.1</v>
      </c>
      <c r="N552">
        <v>0.13372000000000001</v>
      </c>
      <c r="O552" s="31">
        <v>284.7</v>
      </c>
      <c r="P552" s="38">
        <v>138.47649999999999</v>
      </c>
      <c r="Q552" s="22">
        <v>0</v>
      </c>
      <c r="R552" s="38">
        <v>1.0873000000000001E-2</v>
      </c>
      <c r="T552" s="2"/>
      <c r="U552" s="2"/>
      <c r="V552" s="24"/>
      <c r="W552" s="24"/>
      <c r="X552" s="24"/>
      <c r="Y552" s="24"/>
      <c r="Z552" s="24"/>
      <c r="AA552" s="24"/>
      <c r="AB552" s="24"/>
      <c r="AC552" s="25"/>
      <c r="AD552" s="25"/>
      <c r="AE552" s="25"/>
      <c r="AF552" s="25"/>
      <c r="AG552" s="25"/>
      <c r="AH552" s="16"/>
      <c r="AI552" s="25"/>
      <c r="AJ552" s="25"/>
      <c r="AL552" s="3"/>
      <c r="AM552" s="22"/>
      <c r="AN552" s="9"/>
      <c r="AO552" s="9"/>
      <c r="AP552" s="9"/>
      <c r="AQ552" s="9"/>
      <c r="AR552" s="2"/>
      <c r="AS552" s="31"/>
    </row>
    <row r="553" spans="1:45">
      <c r="A553" s="13">
        <v>33878</v>
      </c>
      <c r="B553" s="3">
        <v>63.810400000000001</v>
      </c>
      <c r="C553" s="24">
        <v>118628</v>
      </c>
      <c r="D553" s="24">
        <v>109088</v>
      </c>
      <c r="E553" s="2">
        <v>7.3</v>
      </c>
      <c r="F553" s="33">
        <v>4.7959999999999999E-3</v>
      </c>
      <c r="G553" s="33">
        <v>2.1059999999999998E-3</v>
      </c>
      <c r="H553" s="25">
        <v>7.99</v>
      </c>
      <c r="I553" s="25">
        <v>8.84</v>
      </c>
      <c r="J553" s="25">
        <v>3.1</v>
      </c>
      <c r="K553" s="25">
        <v>3.3</v>
      </c>
      <c r="L553" s="25">
        <v>2.86</v>
      </c>
      <c r="M553" s="33">
        <v>63.4</v>
      </c>
      <c r="N553">
        <v>6.5620999999999999E-2</v>
      </c>
      <c r="O553" s="31">
        <v>277.7</v>
      </c>
      <c r="P553" s="38">
        <v>152.86510000000001</v>
      </c>
      <c r="Q553" s="22">
        <v>-0.17543610268500001</v>
      </c>
      <c r="R553" s="38">
        <v>8.4400000000000002E-4</v>
      </c>
      <c r="T553" s="2"/>
      <c r="U553" s="2"/>
      <c r="V553" s="24"/>
      <c r="W553" s="24"/>
      <c r="X553" s="24"/>
      <c r="Y553" s="24"/>
      <c r="Z553" s="24"/>
      <c r="AA553" s="24"/>
      <c r="AB553" s="24"/>
      <c r="AC553" s="25"/>
      <c r="AD553" s="25"/>
      <c r="AE553" s="25"/>
      <c r="AF553" s="25"/>
      <c r="AG553" s="25"/>
      <c r="AH553" s="16"/>
      <c r="AI553" s="25"/>
      <c r="AJ553" s="25"/>
      <c r="AL553" s="3"/>
      <c r="AM553" s="22"/>
      <c r="AN553" s="9"/>
      <c r="AO553" s="9"/>
      <c r="AP553" s="9"/>
      <c r="AQ553" s="9"/>
      <c r="AR553" s="2"/>
      <c r="AS553" s="31"/>
    </row>
    <row r="554" spans="1:45">
      <c r="A554" s="13">
        <v>33909</v>
      </c>
      <c r="B554" s="3">
        <v>64.076899999999995</v>
      </c>
      <c r="C554" s="24">
        <v>118876</v>
      </c>
      <c r="D554" s="24">
        <v>109227</v>
      </c>
      <c r="E554" s="2">
        <v>7.4</v>
      </c>
      <c r="F554" s="33">
        <v>3.3793999999999998E-2</v>
      </c>
      <c r="G554" s="33">
        <v>3.0262000000000001E-2</v>
      </c>
      <c r="H554" s="25">
        <v>8.1</v>
      </c>
      <c r="I554" s="25">
        <v>8.9600000000000009</v>
      </c>
      <c r="J554" s="25">
        <v>3.09</v>
      </c>
      <c r="K554" s="25">
        <v>3.67</v>
      </c>
      <c r="L554" s="25">
        <v>3.13</v>
      </c>
      <c r="M554" s="33">
        <v>58.5</v>
      </c>
      <c r="N554">
        <v>-0.21359</v>
      </c>
      <c r="O554" s="31">
        <v>267.7</v>
      </c>
      <c r="P554" s="38">
        <v>125.4641</v>
      </c>
      <c r="Q554" s="22">
        <v>-2.8952874441999999E-2</v>
      </c>
      <c r="R554" s="38">
        <v>5.0782000000000001E-2</v>
      </c>
      <c r="T554" s="2"/>
      <c r="U554" s="2"/>
      <c r="V554" s="24"/>
      <c r="W554" s="24"/>
      <c r="X554" s="24"/>
      <c r="Y554" s="24"/>
      <c r="Z554" s="24"/>
      <c r="AA554" s="24"/>
      <c r="AB554" s="24"/>
      <c r="AC554" s="25"/>
      <c r="AD554" s="25"/>
      <c r="AE554" s="25"/>
      <c r="AF554" s="25"/>
      <c r="AG554" s="25"/>
      <c r="AH554" s="16"/>
      <c r="AI554" s="25"/>
      <c r="AJ554" s="25"/>
      <c r="AL554" s="3"/>
      <c r="AM554" s="22"/>
      <c r="AN554" s="9"/>
      <c r="AO554" s="9"/>
      <c r="AP554" s="9"/>
      <c r="AQ554" s="9"/>
      <c r="AR554" s="2"/>
      <c r="AS554" s="31"/>
    </row>
    <row r="555" spans="1:45">
      <c r="A555" s="13">
        <v>33939</v>
      </c>
      <c r="B555" s="3">
        <v>64.092100000000002</v>
      </c>
      <c r="C555" s="24">
        <v>118997</v>
      </c>
      <c r="D555" s="24">
        <v>109440</v>
      </c>
      <c r="E555" s="2">
        <v>7.4</v>
      </c>
      <c r="F555" s="33">
        <v>1.338E-2</v>
      </c>
      <c r="G555" s="33">
        <v>1.0108000000000001E-2</v>
      </c>
      <c r="H555" s="25">
        <v>7.98</v>
      </c>
      <c r="I555" s="25">
        <v>8.81</v>
      </c>
      <c r="J555" s="25">
        <v>2.92</v>
      </c>
      <c r="K555" s="25">
        <v>3.5</v>
      </c>
      <c r="L555" s="25">
        <v>3.22</v>
      </c>
      <c r="M555" s="33">
        <v>53.8</v>
      </c>
      <c r="N555">
        <v>-0.87824000000000002</v>
      </c>
      <c r="O555" s="31">
        <v>266.39999999999998</v>
      </c>
      <c r="P555" s="38">
        <v>101.36369999999999</v>
      </c>
      <c r="Q555" s="22">
        <v>-0.23685514453100001</v>
      </c>
      <c r="R555" s="38">
        <v>8.2531999999999994E-2</v>
      </c>
      <c r="T555" s="2"/>
      <c r="U555" s="2"/>
      <c r="V555" s="24"/>
      <c r="W555" s="24"/>
      <c r="X555" s="24"/>
      <c r="Y555" s="24"/>
      <c r="Z555" s="24"/>
      <c r="AA555" s="24"/>
      <c r="AB555" s="24"/>
      <c r="AC555" s="25"/>
      <c r="AD555" s="25"/>
      <c r="AE555" s="25"/>
      <c r="AF555" s="25"/>
      <c r="AG555" s="25"/>
      <c r="AH555" s="16"/>
      <c r="AI555" s="25"/>
      <c r="AJ555" s="25"/>
      <c r="AL555" s="3"/>
      <c r="AM555" s="22"/>
      <c r="AN555" s="9"/>
      <c r="AO555" s="9"/>
      <c r="AP555" s="9"/>
      <c r="AQ555" s="9"/>
      <c r="AR555" s="2"/>
      <c r="AS555" s="31"/>
    </row>
    <row r="556" spans="1:45">
      <c r="A556" s="13">
        <v>33970</v>
      </c>
      <c r="B556" s="3">
        <v>64.408799999999999</v>
      </c>
      <c r="C556" s="24">
        <v>119075</v>
      </c>
      <c r="D556" s="24">
        <v>109750</v>
      </c>
      <c r="E556" s="2">
        <v>7.3</v>
      </c>
      <c r="F556" s="33">
        <v>7.2820000000000003E-3</v>
      </c>
      <c r="G556" s="33">
        <v>7.0460000000000002E-3</v>
      </c>
      <c r="H556" s="25">
        <v>7.91</v>
      </c>
      <c r="I556" s="25">
        <v>8.67</v>
      </c>
      <c r="J556" s="25">
        <v>3.02</v>
      </c>
      <c r="K556" s="25">
        <v>3.22</v>
      </c>
      <c r="L556" s="25">
        <v>3</v>
      </c>
      <c r="M556" s="33">
        <v>52</v>
      </c>
      <c r="N556">
        <v>0.57986000000000004</v>
      </c>
      <c r="O556" s="31">
        <v>268.7</v>
      </c>
      <c r="P556" s="38">
        <v>114.02330000000001</v>
      </c>
      <c r="Q556" s="22">
        <v>0</v>
      </c>
      <c r="R556" s="38">
        <v>3.4527000000000002E-2</v>
      </c>
      <c r="T556" s="2"/>
      <c r="U556" s="2"/>
      <c r="V556" s="24"/>
      <c r="W556" s="24"/>
      <c r="X556" s="24"/>
      <c r="Y556" s="24"/>
      <c r="Z556" s="24"/>
      <c r="AA556" s="24"/>
      <c r="AB556" s="24"/>
      <c r="AC556" s="25"/>
      <c r="AD556" s="25"/>
      <c r="AE556" s="25"/>
      <c r="AF556" s="25"/>
      <c r="AG556" s="25"/>
      <c r="AH556" s="16"/>
      <c r="AI556" s="25"/>
      <c r="AJ556" s="25"/>
      <c r="AL556" s="3"/>
      <c r="AM556" s="22"/>
      <c r="AN556" s="9"/>
      <c r="AO556" s="9"/>
      <c r="AP556" s="9"/>
      <c r="AQ556" s="9"/>
      <c r="AR556" s="2"/>
      <c r="AS556" s="31"/>
    </row>
    <row r="557" spans="1:45">
      <c r="A557" s="13">
        <v>34001</v>
      </c>
      <c r="B557" s="3">
        <v>64.645700000000005</v>
      </c>
      <c r="C557" s="24">
        <v>119275</v>
      </c>
      <c r="D557" s="24">
        <v>109991</v>
      </c>
      <c r="E557" s="2">
        <v>7.1</v>
      </c>
      <c r="F557" s="33">
        <v>1.3526E-2</v>
      </c>
      <c r="G557" s="33">
        <v>1.0484E-2</v>
      </c>
      <c r="H557" s="25">
        <v>7.71</v>
      </c>
      <c r="I557" s="25">
        <v>8.39</v>
      </c>
      <c r="J557" s="25">
        <v>3.03</v>
      </c>
      <c r="K557" s="25">
        <v>3.12</v>
      </c>
      <c r="L557" s="25">
        <v>2.93</v>
      </c>
      <c r="M557" s="33">
        <v>56.1</v>
      </c>
      <c r="N557">
        <v>0.81493000000000004</v>
      </c>
      <c r="O557" s="31">
        <v>270</v>
      </c>
      <c r="P557" s="38">
        <v>132.23740000000001</v>
      </c>
      <c r="Q557" s="22">
        <v>9.4413798820000006E-2</v>
      </c>
      <c r="R557" s="38">
        <v>-1.1058E-2</v>
      </c>
      <c r="T557" s="2"/>
      <c r="U557" s="2"/>
      <c r="V557" s="24"/>
      <c r="W557" s="24"/>
      <c r="X557" s="24"/>
      <c r="Y557" s="24"/>
      <c r="Z557" s="24"/>
      <c r="AA557" s="24"/>
      <c r="AB557" s="24"/>
      <c r="AC557" s="25"/>
      <c r="AD557" s="25"/>
      <c r="AE557" s="25"/>
      <c r="AF557" s="25"/>
      <c r="AG557" s="25"/>
      <c r="AH557" s="16"/>
      <c r="AI557" s="25"/>
      <c r="AJ557" s="25"/>
      <c r="AL557" s="3"/>
      <c r="AM557" s="22"/>
      <c r="AN557" s="9"/>
      <c r="AO557" s="9"/>
      <c r="AP557" s="9"/>
      <c r="AQ557" s="9"/>
      <c r="AR557" s="2"/>
      <c r="AS557" s="31"/>
    </row>
    <row r="558" spans="1:45">
      <c r="A558" s="13">
        <v>34029</v>
      </c>
      <c r="B558" s="3">
        <v>64.621399999999994</v>
      </c>
      <c r="C558" s="24">
        <v>119542</v>
      </c>
      <c r="D558" s="24">
        <v>109942</v>
      </c>
      <c r="E558" s="2">
        <v>7</v>
      </c>
      <c r="F558" s="33">
        <v>2.1201999999999999E-2</v>
      </c>
      <c r="G558" s="33">
        <v>1.8696999999999998E-2</v>
      </c>
      <c r="H558" s="25">
        <v>7.58</v>
      </c>
      <c r="I558" s="25">
        <v>8.15</v>
      </c>
      <c r="J558" s="25">
        <v>3.07</v>
      </c>
      <c r="K558" s="25">
        <v>3.11</v>
      </c>
      <c r="L558" s="25">
        <v>2.95</v>
      </c>
      <c r="M558" s="33">
        <v>58.1</v>
      </c>
      <c r="N558">
        <v>0.38141999999999998</v>
      </c>
      <c r="O558" s="31">
        <v>266.89999999999998</v>
      </c>
      <c r="P558" s="38">
        <v>133.15289999999999</v>
      </c>
      <c r="Q558" s="22">
        <v>-6.2870183757000001E-2</v>
      </c>
      <c r="R558" s="38">
        <v>1.173E-3</v>
      </c>
      <c r="T558" s="2"/>
      <c r="U558" s="2"/>
      <c r="V558" s="24"/>
      <c r="W558" s="24"/>
      <c r="X558" s="24"/>
      <c r="Y558" s="24"/>
      <c r="Z558" s="24"/>
      <c r="AA558" s="24"/>
      <c r="AB558" s="24"/>
      <c r="AC558" s="25"/>
      <c r="AD558" s="25"/>
      <c r="AE558" s="25"/>
      <c r="AF558" s="25"/>
      <c r="AG558" s="25"/>
      <c r="AH558" s="16"/>
      <c r="AI558" s="25"/>
      <c r="AJ558" s="25"/>
      <c r="AL558" s="3"/>
      <c r="AM558" s="22"/>
      <c r="AN558" s="9"/>
      <c r="AO558" s="9"/>
      <c r="AP558" s="9"/>
      <c r="AQ558" s="9"/>
      <c r="AR558" s="2"/>
      <c r="AS558" s="31"/>
    </row>
    <row r="559" spans="1:45">
      <c r="A559" s="13">
        <v>34060</v>
      </c>
      <c r="B559" s="3">
        <v>64.816000000000003</v>
      </c>
      <c r="C559" s="24">
        <v>119474</v>
      </c>
      <c r="D559" s="24">
        <v>110251</v>
      </c>
      <c r="E559" s="2">
        <v>7.1</v>
      </c>
      <c r="F559" s="33">
        <v>-2.4518999999999999E-2</v>
      </c>
      <c r="G559" s="33">
        <v>-2.5416999999999999E-2</v>
      </c>
      <c r="H559" s="25">
        <v>7.46</v>
      </c>
      <c r="I559" s="25">
        <v>8.14</v>
      </c>
      <c r="J559" s="25">
        <v>2.96</v>
      </c>
      <c r="K559" s="25">
        <v>3.1</v>
      </c>
      <c r="L559" s="25">
        <v>2.87</v>
      </c>
      <c r="M559" s="33">
        <v>57.7</v>
      </c>
      <c r="N559">
        <v>-0.49020999999999998</v>
      </c>
      <c r="O559" s="31">
        <v>261.5</v>
      </c>
      <c r="P559" s="38">
        <v>104.8105</v>
      </c>
      <c r="Q559" s="22">
        <v>0</v>
      </c>
      <c r="R559" s="38">
        <v>5.8900000000000003E-3</v>
      </c>
      <c r="T559" s="2"/>
      <c r="U559" s="2"/>
      <c r="V559" s="24"/>
      <c r="W559" s="24"/>
      <c r="X559" s="24"/>
      <c r="Y559" s="24"/>
      <c r="Z559" s="24"/>
      <c r="AA559" s="24"/>
      <c r="AB559" s="24"/>
      <c r="AC559" s="25"/>
      <c r="AD559" s="25"/>
      <c r="AE559" s="25"/>
      <c r="AF559" s="25"/>
      <c r="AG559" s="25"/>
      <c r="AH559" s="16"/>
      <c r="AI559" s="25"/>
      <c r="AJ559" s="25"/>
      <c r="AL559" s="3"/>
      <c r="AM559" s="22"/>
      <c r="AN559" s="9"/>
      <c r="AO559" s="9"/>
      <c r="AP559" s="9"/>
      <c r="AQ559" s="9"/>
      <c r="AR559" s="2"/>
      <c r="AS559" s="31"/>
    </row>
    <row r="560" spans="1:45">
      <c r="A560" s="13">
        <v>34090</v>
      </c>
      <c r="B560" s="3">
        <v>64.588399999999993</v>
      </c>
      <c r="C560" s="24">
        <v>120115</v>
      </c>
      <c r="D560" s="24">
        <v>110519</v>
      </c>
      <c r="E560" s="2">
        <v>7.1</v>
      </c>
      <c r="F560" s="33">
        <v>2.6259000000000001E-2</v>
      </c>
      <c r="G560" s="33">
        <v>2.2717000000000001E-2</v>
      </c>
      <c r="H560" s="25">
        <v>7.43</v>
      </c>
      <c r="I560" s="25">
        <v>8.2100000000000009</v>
      </c>
      <c r="J560" s="25">
        <v>3</v>
      </c>
      <c r="K560" s="25">
        <v>3.12</v>
      </c>
      <c r="L560" s="25">
        <v>2.96</v>
      </c>
      <c r="M560" s="33">
        <v>57.9</v>
      </c>
      <c r="N560">
        <v>-0.16542000000000001</v>
      </c>
      <c r="O560" s="31">
        <v>257.8</v>
      </c>
      <c r="P560" s="38">
        <v>142.90260000000001</v>
      </c>
      <c r="Q560" s="22">
        <v>0.33470070938399998</v>
      </c>
      <c r="R560" s="38">
        <v>-9.4210000000000006E-3</v>
      </c>
      <c r="T560" s="2"/>
      <c r="U560" s="2"/>
      <c r="V560" s="24"/>
      <c r="W560" s="24"/>
      <c r="X560" s="24"/>
      <c r="Y560" s="24"/>
      <c r="Z560" s="24"/>
      <c r="AA560" s="24"/>
      <c r="AB560" s="24"/>
      <c r="AC560" s="25"/>
      <c r="AD560" s="25"/>
      <c r="AE560" s="25"/>
      <c r="AF560" s="25"/>
      <c r="AG560" s="25"/>
      <c r="AH560" s="16"/>
      <c r="AI560" s="25"/>
      <c r="AJ560" s="25"/>
      <c r="AL560" s="3"/>
      <c r="AM560" s="22"/>
      <c r="AN560" s="9"/>
      <c r="AO560" s="9"/>
      <c r="AP560" s="9"/>
      <c r="AQ560" s="9"/>
      <c r="AR560" s="2"/>
      <c r="AS560" s="31"/>
    </row>
    <row r="561" spans="1:45">
      <c r="A561" s="13">
        <v>34121</v>
      </c>
      <c r="B561" s="3">
        <v>64.722700000000003</v>
      </c>
      <c r="C561" s="24">
        <v>120290</v>
      </c>
      <c r="D561" s="24">
        <v>110693</v>
      </c>
      <c r="E561" s="2">
        <v>7</v>
      </c>
      <c r="F561" s="33">
        <v>3.4659999999999999E-3</v>
      </c>
      <c r="G561" s="33">
        <v>7.5500000000000003E-4</v>
      </c>
      <c r="H561" s="25">
        <v>7.33</v>
      </c>
      <c r="I561" s="25">
        <v>8.07</v>
      </c>
      <c r="J561" s="25">
        <v>3.04</v>
      </c>
      <c r="K561" s="25">
        <v>3.21</v>
      </c>
      <c r="L561" s="25">
        <v>3.07</v>
      </c>
      <c r="M561" s="33">
        <v>52.9</v>
      </c>
      <c r="N561">
        <v>1.1287</v>
      </c>
      <c r="O561" s="31">
        <v>257.10000000000002</v>
      </c>
      <c r="P561" s="38">
        <v>154.01730000000001</v>
      </c>
      <c r="Q561" s="22">
        <v>0</v>
      </c>
      <c r="R561" s="38">
        <v>-9.1328999999999994E-2</v>
      </c>
      <c r="T561" s="2"/>
      <c r="U561" s="2"/>
      <c r="V561" s="24"/>
      <c r="W561" s="24"/>
      <c r="X561" s="24"/>
      <c r="Y561" s="24"/>
      <c r="Z561" s="24"/>
      <c r="AA561" s="24"/>
      <c r="AB561" s="24"/>
      <c r="AC561" s="25"/>
      <c r="AD561" s="25"/>
      <c r="AE561" s="25"/>
      <c r="AF561" s="25"/>
      <c r="AG561" s="25"/>
      <c r="AH561" s="16"/>
      <c r="AI561" s="25"/>
      <c r="AJ561" s="25"/>
      <c r="AL561" s="3"/>
      <c r="AM561" s="22"/>
      <c r="AN561" s="9"/>
      <c r="AO561" s="9"/>
      <c r="AP561" s="9"/>
      <c r="AQ561" s="9"/>
      <c r="AR561" s="2"/>
      <c r="AS561" s="31"/>
    </row>
    <row r="562" spans="1:45">
      <c r="A562" s="13">
        <v>34151</v>
      </c>
      <c r="B562" s="3">
        <v>64.921499999999995</v>
      </c>
      <c r="C562" s="24">
        <v>120467</v>
      </c>
      <c r="D562" s="24">
        <v>110992</v>
      </c>
      <c r="E562" s="2">
        <v>6.9</v>
      </c>
      <c r="F562" s="33">
        <v>-4.5929999999999999E-3</v>
      </c>
      <c r="G562" s="33">
        <v>-5.3270000000000001E-3</v>
      </c>
      <c r="H562" s="25">
        <v>7.17</v>
      </c>
      <c r="I562" s="25">
        <v>7.93</v>
      </c>
      <c r="J562" s="25">
        <v>3.06</v>
      </c>
      <c r="K562" s="25">
        <v>3.17</v>
      </c>
      <c r="L562" s="25">
        <v>3.04</v>
      </c>
      <c r="M562" s="33">
        <v>50.2</v>
      </c>
      <c r="N562">
        <v>0.11726</v>
      </c>
      <c r="O562" s="31">
        <v>257.2</v>
      </c>
      <c r="P562" s="38">
        <v>135.07570000000001</v>
      </c>
      <c r="Q562" s="22">
        <v>9.4942006320000005E-3</v>
      </c>
      <c r="R562" s="38">
        <v>-9.8058000000000006E-2</v>
      </c>
      <c r="T562" s="2"/>
      <c r="U562" s="2"/>
      <c r="V562" s="24"/>
      <c r="W562" s="24"/>
      <c r="X562" s="24"/>
      <c r="Y562" s="24"/>
      <c r="Z562" s="24"/>
      <c r="AA562" s="24"/>
      <c r="AB562" s="24"/>
      <c r="AC562" s="25"/>
      <c r="AD562" s="25"/>
      <c r="AE562" s="25"/>
      <c r="AF562" s="25"/>
      <c r="AG562" s="25"/>
      <c r="AH562" s="16"/>
      <c r="AI562" s="25"/>
      <c r="AJ562" s="25"/>
      <c r="AL562" s="3"/>
      <c r="AM562" s="22"/>
      <c r="AN562" s="9"/>
      <c r="AO562" s="9"/>
      <c r="AP562" s="9"/>
      <c r="AQ562" s="9"/>
      <c r="AR562" s="2"/>
      <c r="AS562" s="31"/>
    </row>
    <row r="563" spans="1:45">
      <c r="A563" s="13">
        <v>34182</v>
      </c>
      <c r="B563" s="3">
        <v>64.895499999999998</v>
      </c>
      <c r="C563" s="24">
        <v>120856</v>
      </c>
      <c r="D563" s="24">
        <v>111154</v>
      </c>
      <c r="E563" s="2">
        <v>6.8</v>
      </c>
      <c r="F563" s="33">
        <v>3.7430999999999999E-2</v>
      </c>
      <c r="G563" s="33">
        <v>3.4431999999999997E-2</v>
      </c>
      <c r="H563" s="25">
        <v>6.85</v>
      </c>
      <c r="I563" s="25">
        <v>7.6</v>
      </c>
      <c r="J563" s="25">
        <v>3.03</v>
      </c>
      <c r="K563" s="25">
        <v>3.14</v>
      </c>
      <c r="L563" s="25">
        <v>3.02</v>
      </c>
      <c r="M563" s="33">
        <v>48.3</v>
      </c>
      <c r="N563">
        <v>0.1158</v>
      </c>
      <c r="O563" s="31">
        <v>255.5</v>
      </c>
      <c r="P563" s="38">
        <v>125.8218</v>
      </c>
      <c r="Q563" s="22">
        <v>4.4010148690000001E-2</v>
      </c>
      <c r="R563" s="38">
        <v>-0.125941</v>
      </c>
      <c r="T563" s="2"/>
      <c r="U563" s="2"/>
      <c r="V563" s="24"/>
      <c r="W563" s="24"/>
      <c r="X563" s="24"/>
      <c r="Y563" s="24"/>
      <c r="Z563" s="24"/>
      <c r="AA563" s="24"/>
      <c r="AB563" s="24"/>
      <c r="AC563" s="25"/>
      <c r="AD563" s="25"/>
      <c r="AE563" s="25"/>
      <c r="AF563" s="25"/>
      <c r="AG563" s="25"/>
      <c r="AH563" s="16"/>
      <c r="AI563" s="25"/>
      <c r="AJ563" s="25"/>
      <c r="AL563" s="3"/>
      <c r="AM563" s="22"/>
      <c r="AN563" s="9"/>
      <c r="AO563" s="9"/>
      <c r="AP563" s="9"/>
      <c r="AQ563" s="9"/>
      <c r="AR563" s="2"/>
      <c r="AS563" s="31"/>
    </row>
    <row r="564" spans="1:45">
      <c r="A564" s="13">
        <v>34213</v>
      </c>
      <c r="B564" s="3">
        <v>65.202200000000005</v>
      </c>
      <c r="C564" s="24">
        <v>120554</v>
      </c>
      <c r="D564" s="24">
        <v>111396</v>
      </c>
      <c r="E564" s="2">
        <v>6.7</v>
      </c>
      <c r="F564" s="33">
        <v>-7.5820000000000002E-3</v>
      </c>
      <c r="G564" s="33">
        <v>-9.9880000000000004E-3</v>
      </c>
      <c r="H564" s="25">
        <v>6.66</v>
      </c>
      <c r="I564" s="25">
        <v>7.34</v>
      </c>
      <c r="J564" s="25">
        <v>3.09</v>
      </c>
      <c r="K564" s="25">
        <v>3.08</v>
      </c>
      <c r="L564" s="25">
        <v>2.95</v>
      </c>
      <c r="M564" s="33">
        <v>46.5</v>
      </c>
      <c r="N564">
        <v>0.72563999999999995</v>
      </c>
      <c r="O564" s="31">
        <v>253.1</v>
      </c>
      <c r="P564" s="38">
        <v>127.4349</v>
      </c>
      <c r="Q564" s="22">
        <v>0.158968634691</v>
      </c>
      <c r="R564" s="38">
        <v>-3.7571E-2</v>
      </c>
      <c r="T564" s="2"/>
      <c r="U564" s="2"/>
      <c r="V564" s="24"/>
      <c r="W564" s="24"/>
      <c r="X564" s="24"/>
      <c r="Y564" s="24"/>
      <c r="Z564" s="24"/>
      <c r="AA564" s="24"/>
      <c r="AB564" s="24"/>
      <c r="AC564" s="25"/>
      <c r="AD564" s="25"/>
      <c r="AE564" s="25"/>
      <c r="AF564" s="25"/>
      <c r="AG564" s="25"/>
      <c r="AH564" s="16"/>
      <c r="AI564" s="25"/>
      <c r="AJ564" s="25"/>
      <c r="AL564" s="3"/>
      <c r="AM564" s="22"/>
      <c r="AN564" s="9"/>
      <c r="AO564" s="9"/>
      <c r="AP564" s="9"/>
      <c r="AQ564" s="9"/>
      <c r="AR564" s="2"/>
      <c r="AS564" s="31"/>
    </row>
    <row r="565" spans="1:45">
      <c r="A565" s="13">
        <v>34243</v>
      </c>
      <c r="B565" s="3">
        <v>65.682199999999995</v>
      </c>
      <c r="C565" s="24">
        <v>120823</v>
      </c>
      <c r="D565" s="24">
        <v>111676</v>
      </c>
      <c r="E565" s="2">
        <v>6.8</v>
      </c>
      <c r="F565" s="33">
        <v>1.9883999999999999E-2</v>
      </c>
      <c r="G565" s="33">
        <v>1.9393000000000001E-2</v>
      </c>
      <c r="H565" s="25">
        <v>6.67</v>
      </c>
      <c r="I565" s="25">
        <v>7.31</v>
      </c>
      <c r="J565" s="25">
        <v>2.99</v>
      </c>
      <c r="K565" s="25">
        <v>3.26</v>
      </c>
      <c r="L565" s="25">
        <v>3.02</v>
      </c>
      <c r="M565" s="33">
        <v>51.8</v>
      </c>
      <c r="N565">
        <v>-0.26668999999999998</v>
      </c>
      <c r="O565" s="31">
        <v>255.6</v>
      </c>
      <c r="P565" s="38">
        <v>123.3276</v>
      </c>
      <c r="Q565" s="22">
        <v>0</v>
      </c>
      <c r="R565" s="38">
        <v>-0.1111</v>
      </c>
      <c r="T565" s="2"/>
      <c r="U565" s="2"/>
      <c r="V565" s="24"/>
      <c r="W565" s="24"/>
      <c r="X565" s="24"/>
      <c r="Y565" s="24"/>
      <c r="Z565" s="24"/>
      <c r="AA565" s="24"/>
      <c r="AB565" s="24"/>
      <c r="AC565" s="25"/>
      <c r="AD565" s="25"/>
      <c r="AE565" s="25"/>
      <c r="AF565" s="25"/>
      <c r="AG565" s="25"/>
      <c r="AH565" s="16"/>
      <c r="AI565" s="25"/>
      <c r="AJ565" s="25"/>
      <c r="AL565" s="3"/>
      <c r="AM565" s="22"/>
      <c r="AN565" s="9"/>
      <c r="AO565" s="9"/>
      <c r="AP565" s="9"/>
      <c r="AQ565" s="9"/>
      <c r="AR565" s="2"/>
      <c r="AS565" s="31"/>
    </row>
    <row r="566" spans="1:45">
      <c r="A566" s="13">
        <v>34274</v>
      </c>
      <c r="B566" s="3">
        <v>65.947999999999993</v>
      </c>
      <c r="C566" s="24">
        <v>121169</v>
      </c>
      <c r="D566" s="24">
        <v>111938</v>
      </c>
      <c r="E566" s="2">
        <v>6.6</v>
      </c>
      <c r="F566" s="33">
        <v>-8.6549999999999995E-3</v>
      </c>
      <c r="G566" s="33">
        <v>-1.2911000000000001E-2</v>
      </c>
      <c r="H566" s="25">
        <v>6.93</v>
      </c>
      <c r="I566" s="25">
        <v>7.66</v>
      </c>
      <c r="J566" s="25">
        <v>3.02</v>
      </c>
      <c r="K566" s="25">
        <v>3.36</v>
      </c>
      <c r="L566" s="25">
        <v>3.1</v>
      </c>
      <c r="M566" s="33">
        <v>46</v>
      </c>
      <c r="N566">
        <v>-0.41716999999999999</v>
      </c>
      <c r="O566" s="31">
        <v>258.10000000000002</v>
      </c>
      <c r="P566" s="38">
        <v>133.30760000000001</v>
      </c>
      <c r="Q566" s="22">
        <v>-8.7284292193999996E-2</v>
      </c>
      <c r="R566" s="38">
        <v>-0.169322</v>
      </c>
      <c r="T566" s="2"/>
      <c r="U566" s="2"/>
      <c r="V566" s="24"/>
      <c r="W566" s="24"/>
      <c r="X566" s="24"/>
      <c r="Y566" s="24"/>
      <c r="Z566" s="24"/>
      <c r="AA566" s="24"/>
      <c r="AB566" s="24"/>
      <c r="AC566" s="25"/>
      <c r="AD566" s="25"/>
      <c r="AE566" s="25"/>
      <c r="AF566" s="25"/>
      <c r="AG566" s="25"/>
      <c r="AH566" s="16"/>
      <c r="AI566" s="25"/>
      <c r="AJ566" s="25"/>
      <c r="AL566" s="3"/>
      <c r="AM566" s="22"/>
      <c r="AN566" s="9"/>
      <c r="AO566" s="9"/>
      <c r="AP566" s="9"/>
      <c r="AQ566" s="9"/>
      <c r="AR566" s="2"/>
      <c r="AS566" s="31"/>
    </row>
    <row r="567" spans="1:45">
      <c r="A567" s="13">
        <v>34304</v>
      </c>
      <c r="B567" s="3">
        <v>66.2804</v>
      </c>
      <c r="C567" s="24">
        <v>121464</v>
      </c>
      <c r="D567" s="24">
        <v>112250</v>
      </c>
      <c r="E567" s="2">
        <v>6.5</v>
      </c>
      <c r="F567" s="33">
        <v>1.2643E-2</v>
      </c>
      <c r="G567" s="33">
        <v>1.0090999999999999E-2</v>
      </c>
      <c r="H567" s="25">
        <v>6.93</v>
      </c>
      <c r="I567" s="25">
        <v>7.69</v>
      </c>
      <c r="J567" s="25">
        <v>2.96</v>
      </c>
      <c r="K567" s="25">
        <v>3.26</v>
      </c>
      <c r="L567" s="25">
        <v>3.06</v>
      </c>
      <c r="M567" s="33">
        <v>38.9</v>
      </c>
      <c r="N567">
        <v>-0.93964999999999999</v>
      </c>
      <c r="O567" s="31">
        <v>263.7</v>
      </c>
      <c r="P567" s="38">
        <v>107.82389999999999</v>
      </c>
      <c r="Q567" s="22">
        <v>-0.1631514989</v>
      </c>
      <c r="R567" s="38">
        <v>-0.19994999999999999</v>
      </c>
      <c r="T567" s="2"/>
      <c r="U567" s="2"/>
      <c r="V567" s="24"/>
      <c r="W567" s="24"/>
      <c r="X567" s="24"/>
      <c r="Y567" s="24"/>
      <c r="Z567" s="24"/>
      <c r="AA567" s="24"/>
      <c r="AB567" s="24"/>
      <c r="AC567" s="25"/>
      <c r="AD567" s="25"/>
      <c r="AE567" s="25"/>
      <c r="AF567" s="25"/>
      <c r="AG567" s="25"/>
      <c r="AH567" s="16"/>
      <c r="AI567" s="25"/>
      <c r="AJ567" s="25"/>
      <c r="AL567" s="3"/>
      <c r="AM567" s="22"/>
      <c r="AN567" s="9"/>
      <c r="AO567" s="9"/>
      <c r="AP567" s="9"/>
      <c r="AQ567" s="9"/>
      <c r="AR567" s="2"/>
      <c r="AS567" s="31"/>
    </row>
    <row r="568" spans="1:45">
      <c r="A568" s="13">
        <v>34335</v>
      </c>
      <c r="B568" s="3">
        <v>66.546800000000005</v>
      </c>
      <c r="C568" s="24">
        <v>121966</v>
      </c>
      <c r="D568" s="24">
        <v>112519</v>
      </c>
      <c r="E568" s="2">
        <v>6.6</v>
      </c>
      <c r="F568" s="33">
        <v>3.3429E-2</v>
      </c>
      <c r="G568" s="33">
        <v>3.2501000000000002E-2</v>
      </c>
      <c r="H568" s="25">
        <v>6.92</v>
      </c>
      <c r="I568" s="25">
        <v>7.65</v>
      </c>
      <c r="J568" s="25">
        <v>3.05</v>
      </c>
      <c r="K568" s="25">
        <v>3.15</v>
      </c>
      <c r="L568" s="25">
        <v>2.98</v>
      </c>
      <c r="M568" s="33">
        <v>39.299999999999997</v>
      </c>
      <c r="N568">
        <v>-0.12523000000000001</v>
      </c>
      <c r="O568" s="31">
        <v>268.8</v>
      </c>
      <c r="P568" s="38">
        <v>109.9178</v>
      </c>
      <c r="Q568" s="22">
        <v>0</v>
      </c>
      <c r="R568" s="38">
        <v>-0.26936700000000002</v>
      </c>
      <c r="T568" s="2"/>
      <c r="U568" s="2"/>
      <c r="V568" s="24"/>
      <c r="W568" s="24"/>
      <c r="X568" s="24"/>
      <c r="Y568" s="24"/>
      <c r="Z568" s="24"/>
      <c r="AA568" s="24"/>
      <c r="AB568" s="24"/>
      <c r="AC568" s="25"/>
      <c r="AD568" s="25"/>
      <c r="AE568" s="25"/>
      <c r="AF568" s="25"/>
      <c r="AG568" s="25"/>
      <c r="AH568" s="16"/>
      <c r="AI568" s="25"/>
      <c r="AJ568" s="25"/>
      <c r="AL568" s="3"/>
      <c r="AM568" s="22"/>
      <c r="AN568" s="9"/>
      <c r="AO568" s="9"/>
      <c r="AP568" s="9"/>
      <c r="AQ568" s="9"/>
      <c r="AR568" s="2"/>
      <c r="AS568" s="31"/>
    </row>
    <row r="569" spans="1:45">
      <c r="A569" s="13">
        <v>34366</v>
      </c>
      <c r="B569" s="3">
        <v>66.5809</v>
      </c>
      <c r="C569" s="24">
        <v>122086</v>
      </c>
      <c r="D569" s="24">
        <v>112722</v>
      </c>
      <c r="E569" s="2">
        <v>6.6</v>
      </c>
      <c r="F569" s="33">
        <v>-2.7161000000000001E-2</v>
      </c>
      <c r="G569" s="33">
        <v>-3.0044999999999999E-2</v>
      </c>
      <c r="H569" s="25">
        <v>7.08</v>
      </c>
      <c r="I569" s="25">
        <v>7.76</v>
      </c>
      <c r="J569" s="25">
        <v>3.25</v>
      </c>
      <c r="K569" s="25">
        <v>3.43</v>
      </c>
      <c r="L569" s="25">
        <v>3.25</v>
      </c>
      <c r="M569" s="33">
        <v>37.799999999999997</v>
      </c>
      <c r="N569">
        <v>0.92871000000000004</v>
      </c>
      <c r="O569" s="31">
        <v>275.2</v>
      </c>
      <c r="P569" s="38">
        <v>109.7026</v>
      </c>
      <c r="Q569" s="22">
        <v>0.22434142325699999</v>
      </c>
      <c r="R569" s="38">
        <v>-0.46000400000000002</v>
      </c>
      <c r="T569" s="2"/>
      <c r="U569" s="2"/>
      <c r="V569" s="24"/>
      <c r="W569" s="24"/>
      <c r="X569" s="24"/>
      <c r="Y569" s="24"/>
      <c r="Z569" s="24"/>
      <c r="AA569" s="24"/>
      <c r="AB569" s="24"/>
      <c r="AC569" s="25"/>
      <c r="AD569" s="25"/>
      <c r="AE569" s="25"/>
      <c r="AF569" s="25"/>
      <c r="AG569" s="25"/>
      <c r="AH569" s="16"/>
      <c r="AI569" s="25"/>
      <c r="AJ569" s="25"/>
      <c r="AL569" s="3"/>
      <c r="AM569" s="22"/>
      <c r="AN569" s="9"/>
      <c r="AO569" s="9"/>
      <c r="AP569" s="9"/>
      <c r="AQ569" s="9"/>
      <c r="AR569" s="2"/>
      <c r="AS569" s="31"/>
    </row>
    <row r="570" spans="1:45">
      <c r="A570" s="13">
        <v>34394</v>
      </c>
      <c r="B570" s="3">
        <v>67.265299999999996</v>
      </c>
      <c r="C570" s="24">
        <v>121930</v>
      </c>
      <c r="D570" s="24">
        <v>113188</v>
      </c>
      <c r="E570" s="2">
        <v>6.5</v>
      </c>
      <c r="F570" s="33">
        <v>-4.3456000000000002E-2</v>
      </c>
      <c r="G570" s="33">
        <v>-4.5746000000000002E-2</v>
      </c>
      <c r="H570" s="25">
        <v>7.48</v>
      </c>
      <c r="I570" s="25">
        <v>8.1300000000000008</v>
      </c>
      <c r="J570" s="25">
        <v>3.34</v>
      </c>
      <c r="K570" s="25">
        <v>3.75</v>
      </c>
      <c r="L570" s="25">
        <v>3.5</v>
      </c>
      <c r="M570" s="33">
        <v>39.6</v>
      </c>
      <c r="N570">
        <v>3.7052000000000001E-3</v>
      </c>
      <c r="O570" s="31">
        <v>279.10000000000002</v>
      </c>
      <c r="P570" s="38">
        <v>120.5056</v>
      </c>
      <c r="Q570" s="22">
        <v>0.31292952942000002</v>
      </c>
      <c r="R570" s="38">
        <v>-0.35198499999999999</v>
      </c>
      <c r="T570" s="2"/>
      <c r="U570" s="2"/>
      <c r="V570" s="24"/>
      <c r="W570" s="24"/>
      <c r="X570" s="24"/>
      <c r="Y570" s="24"/>
      <c r="Z570" s="24"/>
      <c r="AA570" s="24"/>
      <c r="AB570" s="24"/>
      <c r="AC570" s="25"/>
      <c r="AD570" s="25"/>
      <c r="AE570" s="25"/>
      <c r="AF570" s="25"/>
      <c r="AG570" s="25"/>
      <c r="AH570" s="16"/>
      <c r="AI570" s="25"/>
      <c r="AJ570" s="25"/>
      <c r="AL570" s="3"/>
      <c r="AM570" s="22"/>
      <c r="AN570" s="9"/>
      <c r="AO570" s="9"/>
      <c r="AP570" s="9"/>
      <c r="AQ570" s="9"/>
      <c r="AR570" s="2"/>
      <c r="AS570" s="31"/>
    </row>
    <row r="571" spans="1:45">
      <c r="A571" s="13">
        <v>34425</v>
      </c>
      <c r="B571" s="3">
        <v>67.622699999999995</v>
      </c>
      <c r="C571" s="24">
        <v>122290</v>
      </c>
      <c r="D571" s="24">
        <v>113538</v>
      </c>
      <c r="E571" s="2">
        <v>6.4</v>
      </c>
      <c r="F571" s="33">
        <v>1.2817E-2</v>
      </c>
      <c r="G571" s="33">
        <v>1.1531E-2</v>
      </c>
      <c r="H571" s="25">
        <v>7.88</v>
      </c>
      <c r="I571" s="25">
        <v>8.52</v>
      </c>
      <c r="J571" s="25">
        <v>3.56</v>
      </c>
      <c r="K571" s="25">
        <v>4</v>
      </c>
      <c r="L571" s="25">
        <v>3.68</v>
      </c>
      <c r="M571" s="33">
        <v>42.7</v>
      </c>
      <c r="N571">
        <v>0.52159</v>
      </c>
      <c r="O571" s="31">
        <v>280.89999999999998</v>
      </c>
      <c r="P571" s="38">
        <v>127.2111</v>
      </c>
      <c r="Q571" s="22">
        <v>0</v>
      </c>
      <c r="R571" s="38">
        <v>-0.32161800000000001</v>
      </c>
      <c r="T571" s="2"/>
      <c r="U571" s="2"/>
      <c r="V571" s="24"/>
      <c r="W571" s="24"/>
      <c r="X571" s="24"/>
      <c r="Y571" s="24"/>
      <c r="Z571" s="24"/>
      <c r="AA571" s="24"/>
      <c r="AB571" s="24"/>
      <c r="AC571" s="25"/>
      <c r="AD571" s="25"/>
      <c r="AE571" s="25"/>
      <c r="AF571" s="25"/>
      <c r="AG571" s="25"/>
      <c r="AH571" s="16"/>
      <c r="AI571" s="25"/>
      <c r="AJ571" s="25"/>
      <c r="AL571" s="3"/>
      <c r="AM571" s="22"/>
      <c r="AN571" s="9"/>
      <c r="AO571" s="9"/>
      <c r="AP571" s="9"/>
      <c r="AQ571" s="9"/>
      <c r="AR571" s="2"/>
      <c r="AS571" s="31"/>
    </row>
    <row r="572" spans="1:45">
      <c r="A572" s="13">
        <v>34455</v>
      </c>
      <c r="B572" s="3">
        <v>67.994</v>
      </c>
      <c r="C572" s="24">
        <v>122864</v>
      </c>
      <c r="D572" s="24">
        <v>113869</v>
      </c>
      <c r="E572" s="2">
        <v>6.1</v>
      </c>
      <c r="F572" s="33">
        <v>1.6309000000000001E-2</v>
      </c>
      <c r="G572" s="33">
        <v>1.2418999999999999E-2</v>
      </c>
      <c r="H572" s="25">
        <v>7.99</v>
      </c>
      <c r="I572" s="25">
        <v>8.6199999999999992</v>
      </c>
      <c r="J572" s="25">
        <v>4.01</v>
      </c>
      <c r="K572" s="25">
        <v>4.51</v>
      </c>
      <c r="L572" s="25">
        <v>4.1399999999999997</v>
      </c>
      <c r="M572" s="33">
        <v>48.9</v>
      </c>
      <c r="N572">
        <v>1.1674</v>
      </c>
      <c r="O572" s="31">
        <v>288</v>
      </c>
      <c r="P572" s="38">
        <v>124.69580000000001</v>
      </c>
      <c r="Q572" s="22">
        <v>0.28719449301799999</v>
      </c>
      <c r="R572" s="38">
        <v>-0.32148100000000002</v>
      </c>
      <c r="T572" s="2"/>
      <c r="U572" s="2"/>
      <c r="V572" s="24"/>
      <c r="W572" s="24"/>
      <c r="X572" s="24"/>
      <c r="Y572" s="24"/>
      <c r="Z572" s="24"/>
      <c r="AA572" s="24"/>
      <c r="AB572" s="24"/>
      <c r="AC572" s="25"/>
      <c r="AD572" s="25"/>
      <c r="AE572" s="25"/>
      <c r="AF572" s="25"/>
      <c r="AG572" s="25"/>
      <c r="AH572" s="16"/>
      <c r="AI572" s="25"/>
      <c r="AJ572" s="25"/>
      <c r="AL572" s="3"/>
      <c r="AM572" s="22"/>
      <c r="AN572" s="9"/>
      <c r="AO572" s="9"/>
      <c r="AP572" s="9"/>
      <c r="AQ572" s="9"/>
      <c r="AR572" s="2"/>
      <c r="AS572" s="31"/>
    </row>
    <row r="573" spans="1:45">
      <c r="A573" s="13">
        <v>34486</v>
      </c>
      <c r="B573" s="3">
        <v>68.445999999999998</v>
      </c>
      <c r="C573" s="24">
        <v>122634</v>
      </c>
      <c r="D573" s="24">
        <v>114179</v>
      </c>
      <c r="E573" s="2">
        <v>6.1</v>
      </c>
      <c r="F573" s="33">
        <v>-2.4761999999999999E-2</v>
      </c>
      <c r="G573" s="33">
        <v>-2.6811999999999999E-2</v>
      </c>
      <c r="H573" s="25">
        <v>7.97</v>
      </c>
      <c r="I573" s="25">
        <v>8.65</v>
      </c>
      <c r="J573" s="25">
        <v>4.25</v>
      </c>
      <c r="K573" s="25">
        <v>4.51</v>
      </c>
      <c r="L573" s="25">
        <v>4.1399999999999997</v>
      </c>
      <c r="M573" s="33">
        <v>52.9</v>
      </c>
      <c r="N573">
        <v>0.29731999999999997</v>
      </c>
      <c r="O573" s="31">
        <v>290.89999999999998</v>
      </c>
      <c r="P573" s="38">
        <v>126.96210000000001</v>
      </c>
      <c r="Q573" s="22">
        <v>0</v>
      </c>
      <c r="R573" s="38">
        <v>-0.366089</v>
      </c>
      <c r="T573" s="2"/>
      <c r="U573" s="2"/>
      <c r="V573" s="24"/>
      <c r="W573" s="24"/>
      <c r="X573" s="24"/>
      <c r="Y573" s="24"/>
      <c r="Z573" s="24"/>
      <c r="AA573" s="24"/>
      <c r="AB573" s="24"/>
      <c r="AC573" s="25"/>
      <c r="AD573" s="25"/>
      <c r="AE573" s="25"/>
      <c r="AF573" s="25"/>
      <c r="AG573" s="25"/>
      <c r="AH573" s="16"/>
      <c r="AI573" s="25"/>
      <c r="AJ573" s="25"/>
      <c r="AL573" s="3"/>
      <c r="AM573" s="22"/>
      <c r="AN573" s="9"/>
      <c r="AO573" s="9"/>
      <c r="AP573" s="9"/>
      <c r="AQ573" s="9"/>
      <c r="AR573" s="2"/>
      <c r="AS573" s="31"/>
    </row>
    <row r="574" spans="1:45">
      <c r="A574" s="13">
        <v>34516</v>
      </c>
      <c r="B574" s="3">
        <v>68.554100000000005</v>
      </c>
      <c r="C574" s="24">
        <v>122706</v>
      </c>
      <c r="D574" s="24">
        <v>114541</v>
      </c>
      <c r="E574" s="2">
        <v>6.1</v>
      </c>
      <c r="F574" s="33">
        <v>3.2714E-2</v>
      </c>
      <c r="G574" s="33">
        <v>3.1467000000000002E-2</v>
      </c>
      <c r="H574" s="25">
        <v>8.11</v>
      </c>
      <c r="I574" s="25">
        <v>8.8000000000000007</v>
      </c>
      <c r="J574" s="25">
        <v>4.26</v>
      </c>
      <c r="K574" s="25">
        <v>4.74</v>
      </c>
      <c r="L574" s="25">
        <v>4.33</v>
      </c>
      <c r="M574" s="33">
        <v>56.2</v>
      </c>
      <c r="N574">
        <v>-2.032</v>
      </c>
      <c r="O574" s="31">
        <v>299.5</v>
      </c>
      <c r="P574" s="38">
        <v>117.4503</v>
      </c>
      <c r="Q574" s="22">
        <v>7.0467666328E-2</v>
      </c>
      <c r="R574" s="38">
        <v>-0.325187</v>
      </c>
      <c r="T574" s="2"/>
      <c r="U574" s="2"/>
      <c r="V574" s="24"/>
      <c r="W574" s="24"/>
      <c r="X574" s="24"/>
      <c r="Y574" s="24"/>
      <c r="Z574" s="24"/>
      <c r="AA574" s="24"/>
      <c r="AB574" s="24"/>
      <c r="AC574" s="25"/>
      <c r="AD574" s="25"/>
      <c r="AE574" s="25"/>
      <c r="AF574" s="25"/>
      <c r="AG574" s="25"/>
      <c r="AH574" s="16"/>
      <c r="AI574" s="25"/>
      <c r="AJ574" s="25"/>
      <c r="AL574" s="3"/>
      <c r="AM574" s="22"/>
      <c r="AN574" s="9"/>
      <c r="AO574" s="9"/>
      <c r="AP574" s="9"/>
      <c r="AQ574" s="9"/>
      <c r="AR574" s="2"/>
      <c r="AS574" s="31"/>
    </row>
    <row r="575" spans="1:45">
      <c r="A575" s="13">
        <v>34547</v>
      </c>
      <c r="B575" s="3">
        <v>68.944000000000003</v>
      </c>
      <c r="C575" s="24">
        <v>123342</v>
      </c>
      <c r="D575" s="24">
        <v>114839</v>
      </c>
      <c r="E575" s="2">
        <v>6</v>
      </c>
      <c r="F575" s="33">
        <v>4.1341000000000003E-2</v>
      </c>
      <c r="G575" s="33">
        <v>3.7643000000000003E-2</v>
      </c>
      <c r="H575" s="25">
        <v>8.07</v>
      </c>
      <c r="I575" s="25">
        <v>8.74</v>
      </c>
      <c r="J575" s="25">
        <v>4.47</v>
      </c>
      <c r="K575" s="25">
        <v>4.8</v>
      </c>
      <c r="L575" s="25">
        <v>4.4800000000000004</v>
      </c>
      <c r="M575" s="33">
        <v>54.4</v>
      </c>
      <c r="N575">
        <v>0.60216000000000003</v>
      </c>
      <c r="O575" s="31">
        <v>305.3</v>
      </c>
      <c r="P575" s="38">
        <v>124.26909999999999</v>
      </c>
      <c r="Q575" s="22">
        <v>0.416768636917</v>
      </c>
      <c r="R575" s="38">
        <v>-0.29768800000000001</v>
      </c>
      <c r="T575" s="2"/>
      <c r="U575" s="2"/>
      <c r="V575" s="24"/>
      <c r="W575" s="24"/>
      <c r="X575" s="24"/>
      <c r="Y575" s="24"/>
      <c r="Z575" s="24"/>
      <c r="AA575" s="24"/>
      <c r="AB575" s="24"/>
      <c r="AC575" s="25"/>
      <c r="AD575" s="25"/>
      <c r="AE575" s="25"/>
      <c r="AF575" s="25"/>
      <c r="AG575" s="25"/>
      <c r="AH575" s="16"/>
      <c r="AI575" s="25"/>
      <c r="AJ575" s="25"/>
      <c r="AL575" s="3"/>
      <c r="AM575" s="22"/>
      <c r="AN575" s="9"/>
      <c r="AO575" s="9"/>
      <c r="AP575" s="9"/>
      <c r="AQ575" s="9"/>
      <c r="AR575" s="2"/>
      <c r="AS575" s="31"/>
    </row>
    <row r="576" spans="1:45">
      <c r="A576" s="13">
        <v>34578</v>
      </c>
      <c r="B576" s="3">
        <v>69.1631</v>
      </c>
      <c r="C576" s="24">
        <v>123687</v>
      </c>
      <c r="D576" s="24">
        <v>115193</v>
      </c>
      <c r="E576" s="2">
        <v>5.9</v>
      </c>
      <c r="F576" s="33">
        <v>-2.3939999999999999E-2</v>
      </c>
      <c r="G576" s="33">
        <v>-2.6897999999999998E-2</v>
      </c>
      <c r="H576" s="25">
        <v>8.34</v>
      </c>
      <c r="I576" s="25">
        <v>8.98</v>
      </c>
      <c r="J576" s="25">
        <v>4.7300000000000004</v>
      </c>
      <c r="K576" s="25">
        <v>5.01</v>
      </c>
      <c r="L576" s="25">
        <v>4.62</v>
      </c>
      <c r="M576" s="33">
        <v>48.3</v>
      </c>
      <c r="N576">
        <v>0.41399000000000002</v>
      </c>
      <c r="O576" s="31">
        <v>313.60000000000002</v>
      </c>
      <c r="P576" s="38">
        <v>127.3038</v>
      </c>
      <c r="Q576" s="22">
        <v>4.0928417371000003E-2</v>
      </c>
      <c r="R576" s="38">
        <v>-0.43066900000000002</v>
      </c>
      <c r="T576" s="2"/>
      <c r="U576" s="2"/>
      <c r="V576" s="24"/>
      <c r="W576" s="24"/>
      <c r="X576" s="24"/>
      <c r="Y576" s="24"/>
      <c r="Z576" s="24"/>
      <c r="AA576" s="24"/>
      <c r="AB576" s="24"/>
      <c r="AC576" s="25"/>
      <c r="AD576" s="25"/>
      <c r="AE576" s="25"/>
      <c r="AF576" s="25"/>
      <c r="AG576" s="25"/>
      <c r="AH576" s="16"/>
      <c r="AI576" s="25"/>
      <c r="AJ576" s="25"/>
      <c r="AL576" s="3"/>
      <c r="AM576" s="22"/>
      <c r="AN576" s="9"/>
      <c r="AO576" s="9"/>
      <c r="AP576" s="9"/>
      <c r="AQ576" s="9"/>
      <c r="AR576" s="2"/>
      <c r="AS576" s="31"/>
    </row>
    <row r="577" spans="1:45">
      <c r="A577" s="13">
        <v>34608</v>
      </c>
      <c r="B577" s="3">
        <v>69.766900000000007</v>
      </c>
      <c r="C577" s="24">
        <v>124112</v>
      </c>
      <c r="D577" s="24">
        <v>115400</v>
      </c>
      <c r="E577" s="2">
        <v>5.8</v>
      </c>
      <c r="F577" s="33">
        <v>2.2619E-2</v>
      </c>
      <c r="G577" s="33">
        <v>2.0833999999999998E-2</v>
      </c>
      <c r="H577" s="25">
        <v>8.57</v>
      </c>
      <c r="I577" s="25">
        <v>9.1999999999999993</v>
      </c>
      <c r="J577" s="25">
        <v>4.76</v>
      </c>
      <c r="K577" s="25">
        <v>5.52</v>
      </c>
      <c r="L577" s="25">
        <v>4.95</v>
      </c>
      <c r="M577" s="33">
        <v>49.3</v>
      </c>
      <c r="N577">
        <v>-0.85070000000000001</v>
      </c>
      <c r="O577" s="31">
        <v>318.89999999999998</v>
      </c>
      <c r="P577" s="38">
        <v>81.820009999999996</v>
      </c>
      <c r="Q577" s="22">
        <v>0</v>
      </c>
      <c r="R577" s="38">
        <v>-0.32798899999999998</v>
      </c>
      <c r="T577" s="2"/>
      <c r="U577" s="2"/>
      <c r="V577" s="24"/>
      <c r="W577" s="24"/>
      <c r="X577" s="24"/>
      <c r="Y577" s="24"/>
      <c r="Z577" s="24"/>
      <c r="AA577" s="24"/>
      <c r="AB577" s="24"/>
      <c r="AC577" s="25"/>
      <c r="AD577" s="25"/>
      <c r="AE577" s="25"/>
      <c r="AF577" s="25"/>
      <c r="AG577" s="25"/>
      <c r="AH577" s="16"/>
      <c r="AI577" s="25"/>
      <c r="AJ577" s="25"/>
      <c r="AL577" s="3"/>
      <c r="AM577" s="22"/>
      <c r="AN577" s="9"/>
      <c r="AO577" s="9"/>
      <c r="AP577" s="9"/>
      <c r="AQ577" s="9"/>
      <c r="AR577" s="2"/>
      <c r="AS577" s="31"/>
    </row>
    <row r="578" spans="1:45">
      <c r="A578" s="13">
        <v>34639</v>
      </c>
      <c r="B578" s="3">
        <v>70.212900000000005</v>
      </c>
      <c r="C578" s="24">
        <v>124516</v>
      </c>
      <c r="D578" s="24">
        <v>115818</v>
      </c>
      <c r="E578" s="2">
        <v>5.6</v>
      </c>
      <c r="F578" s="33">
        <v>-3.6248000000000002E-2</v>
      </c>
      <c r="G578" s="33">
        <v>-3.9504999999999998E-2</v>
      </c>
      <c r="H578" s="25">
        <v>8.68</v>
      </c>
      <c r="I578" s="25">
        <v>9.32</v>
      </c>
      <c r="J578" s="25">
        <v>5.29</v>
      </c>
      <c r="K578" s="25">
        <v>5.78</v>
      </c>
      <c r="L578" s="25">
        <v>5.29</v>
      </c>
      <c r="M578" s="33">
        <v>49.1</v>
      </c>
      <c r="N578">
        <v>2.5708000000000002</v>
      </c>
      <c r="O578" s="31">
        <v>329.7</v>
      </c>
      <c r="P578" s="38">
        <v>128.90989999999999</v>
      </c>
      <c r="Q578" s="22">
        <v>0.54906049379300004</v>
      </c>
      <c r="R578" s="38">
        <v>-0.304894</v>
      </c>
      <c r="T578" s="2"/>
      <c r="U578" s="2"/>
      <c r="V578" s="24"/>
      <c r="W578" s="24"/>
      <c r="X578" s="24"/>
      <c r="Y578" s="24"/>
      <c r="Z578" s="24"/>
      <c r="AA578" s="24"/>
      <c r="AB578" s="24"/>
      <c r="AC578" s="25"/>
      <c r="AD578" s="25"/>
      <c r="AE578" s="25"/>
      <c r="AF578" s="25"/>
      <c r="AG578" s="25"/>
      <c r="AH578" s="16"/>
      <c r="AI578" s="25"/>
      <c r="AJ578" s="25"/>
      <c r="AL578" s="3"/>
      <c r="AM578" s="22"/>
      <c r="AN578" s="9"/>
      <c r="AO578" s="9"/>
      <c r="AP578" s="9"/>
      <c r="AQ578" s="9"/>
      <c r="AR578" s="2"/>
      <c r="AS578" s="31"/>
    </row>
    <row r="579" spans="1:45">
      <c r="A579" s="13">
        <v>34669</v>
      </c>
      <c r="B579" s="3">
        <v>70.945800000000006</v>
      </c>
      <c r="C579" s="24">
        <v>124721</v>
      </c>
      <c r="D579" s="24">
        <v>116094</v>
      </c>
      <c r="E579" s="2">
        <v>5.5</v>
      </c>
      <c r="F579" s="33">
        <v>1.4955E-2</v>
      </c>
      <c r="G579" s="33">
        <v>1.2298999999999999E-2</v>
      </c>
      <c r="H579" s="25">
        <v>8.4600000000000009</v>
      </c>
      <c r="I579" s="25">
        <v>9.1</v>
      </c>
      <c r="J579" s="25">
        <v>5.45</v>
      </c>
      <c r="K579" s="25">
        <v>6.27</v>
      </c>
      <c r="L579" s="25">
        <v>5.6</v>
      </c>
      <c r="M579" s="33">
        <v>47.1</v>
      </c>
      <c r="N579">
        <v>-0.15071999999999999</v>
      </c>
      <c r="O579" s="31">
        <v>340.2</v>
      </c>
      <c r="P579" s="38">
        <v>137.77180000000001</v>
      </c>
      <c r="Q579" s="22">
        <v>-0.24825457727700001</v>
      </c>
      <c r="R579" s="38">
        <v>-0.25414100000000001</v>
      </c>
      <c r="T579" s="2"/>
      <c r="U579" s="2"/>
      <c r="V579" s="24"/>
      <c r="W579" s="24"/>
      <c r="X579" s="24"/>
      <c r="Y579" s="24"/>
      <c r="Z579" s="24"/>
      <c r="AA579" s="24"/>
      <c r="AB579" s="24"/>
      <c r="AC579" s="25"/>
      <c r="AD579" s="25"/>
      <c r="AE579" s="25"/>
      <c r="AF579" s="25"/>
      <c r="AG579" s="25"/>
      <c r="AH579" s="16"/>
      <c r="AI579" s="25"/>
      <c r="AJ579" s="25"/>
      <c r="AL579" s="3"/>
      <c r="AM579" s="22"/>
      <c r="AN579" s="9"/>
      <c r="AO579" s="9"/>
      <c r="AP579" s="9"/>
      <c r="AQ579" s="9"/>
      <c r="AR579" s="2"/>
      <c r="AS579" s="31"/>
    </row>
    <row r="580" spans="1:45">
      <c r="A580" s="13">
        <v>34700</v>
      </c>
      <c r="B580" s="3">
        <v>71.084100000000007</v>
      </c>
      <c r="C580" s="24">
        <v>124663</v>
      </c>
      <c r="D580" s="24">
        <v>116414</v>
      </c>
      <c r="E580" s="2">
        <v>5.6</v>
      </c>
      <c r="F580" s="33">
        <v>2.5999999999999999E-2</v>
      </c>
      <c r="G580" s="33">
        <v>2.4278000000000001E-2</v>
      </c>
      <c r="H580" s="25">
        <v>8.4600000000000009</v>
      </c>
      <c r="I580" s="25">
        <v>9.08</v>
      </c>
      <c r="J580" s="25">
        <v>5.53</v>
      </c>
      <c r="K580" s="25">
        <v>6.23</v>
      </c>
      <c r="L580" s="25">
        <v>5.71</v>
      </c>
      <c r="M580" s="33">
        <v>48.4</v>
      </c>
      <c r="N580">
        <v>-1.1105</v>
      </c>
      <c r="O580" s="31">
        <v>347.9</v>
      </c>
      <c r="P580" s="38">
        <v>136.00970000000001</v>
      </c>
      <c r="Q580" s="22">
        <v>0</v>
      </c>
      <c r="R580" s="38">
        <v>-0.27359</v>
      </c>
      <c r="T580" s="2"/>
      <c r="U580" s="2"/>
      <c r="V580" s="24"/>
      <c r="W580" s="24"/>
      <c r="X580" s="24"/>
      <c r="Y580" s="24"/>
      <c r="Z580" s="24"/>
      <c r="AA580" s="24"/>
      <c r="AB580" s="24"/>
      <c r="AC580" s="25"/>
      <c r="AD580" s="25"/>
      <c r="AE580" s="25"/>
      <c r="AF580" s="25"/>
      <c r="AG580" s="25"/>
      <c r="AH580" s="16"/>
      <c r="AI580" s="25"/>
      <c r="AJ580" s="25"/>
      <c r="AL580" s="3"/>
      <c r="AM580" s="22"/>
      <c r="AN580" s="9"/>
      <c r="AO580" s="9"/>
      <c r="AP580" s="9"/>
      <c r="AQ580" s="9"/>
      <c r="AR580" s="2"/>
      <c r="AS580" s="31"/>
    </row>
    <row r="581" spans="1:45">
      <c r="A581" s="13">
        <v>34731</v>
      </c>
      <c r="B581" s="3">
        <v>71.038899999999998</v>
      </c>
      <c r="C581" s="24">
        <v>124928</v>
      </c>
      <c r="D581" s="24">
        <v>116621</v>
      </c>
      <c r="E581" s="2">
        <v>5.4</v>
      </c>
      <c r="F581" s="33">
        <v>3.9227999999999999E-2</v>
      </c>
      <c r="G581" s="33">
        <v>3.6074000000000002E-2</v>
      </c>
      <c r="H581" s="25">
        <v>8.26</v>
      </c>
      <c r="I581" s="25">
        <v>8.85</v>
      </c>
      <c r="J581" s="25">
        <v>5.92</v>
      </c>
      <c r="K581" s="25">
        <v>6.14</v>
      </c>
      <c r="L581" s="25">
        <v>5.77</v>
      </c>
      <c r="M581" s="33">
        <v>51</v>
      </c>
      <c r="N581">
        <v>1.8563000000000001</v>
      </c>
      <c r="O581" s="31">
        <v>340.5</v>
      </c>
      <c r="P581" s="38">
        <v>139.4222</v>
      </c>
      <c r="Q581" s="22">
        <v>0.50076796658300005</v>
      </c>
      <c r="R581" s="38">
        <v>-0.326992</v>
      </c>
      <c r="T581" s="2"/>
      <c r="U581" s="2"/>
      <c r="V581" s="24"/>
      <c r="W581" s="24"/>
      <c r="X581" s="24"/>
      <c r="Y581" s="24"/>
      <c r="Z581" s="24"/>
      <c r="AA581" s="24"/>
      <c r="AB581" s="24"/>
      <c r="AC581" s="25"/>
      <c r="AD581" s="25"/>
      <c r="AE581" s="25"/>
      <c r="AF581" s="25"/>
      <c r="AG581" s="25"/>
      <c r="AH581" s="16"/>
      <c r="AI581" s="25"/>
      <c r="AJ581" s="25"/>
      <c r="AL581" s="3"/>
      <c r="AM581" s="22"/>
      <c r="AN581" s="9"/>
      <c r="AO581" s="9"/>
      <c r="AP581" s="9"/>
      <c r="AQ581" s="9"/>
      <c r="AR581" s="2"/>
      <c r="AS581" s="31"/>
    </row>
    <row r="582" spans="1:45">
      <c r="A582" s="13">
        <v>34759</v>
      </c>
      <c r="B582" s="3">
        <v>71.1524</v>
      </c>
      <c r="C582" s="24">
        <v>124955</v>
      </c>
      <c r="D582" s="24">
        <v>116844</v>
      </c>
      <c r="E582" s="2">
        <v>5.4</v>
      </c>
      <c r="F582" s="33">
        <v>2.9333999999999999E-2</v>
      </c>
      <c r="G582" s="33">
        <v>2.7328999999999999E-2</v>
      </c>
      <c r="H582" s="25">
        <v>8.1199999999999992</v>
      </c>
      <c r="I582" s="25">
        <v>8.6999999999999993</v>
      </c>
      <c r="J582" s="25">
        <v>5.98</v>
      </c>
      <c r="K582" s="25">
        <v>6.15</v>
      </c>
      <c r="L582" s="25">
        <v>5.73</v>
      </c>
      <c r="M582" s="33">
        <v>50.6</v>
      </c>
      <c r="N582">
        <v>-0.75983000000000001</v>
      </c>
      <c r="O582" s="31">
        <v>344.6</v>
      </c>
      <c r="P582" s="38">
        <v>151.04910000000001</v>
      </c>
      <c r="Q582" s="22">
        <v>0.24140447513300001</v>
      </c>
      <c r="R582" s="38">
        <v>-0.32970100000000002</v>
      </c>
      <c r="T582" s="2"/>
      <c r="U582" s="2"/>
      <c r="V582" s="24"/>
      <c r="W582" s="24"/>
      <c r="X582" s="24"/>
      <c r="Y582" s="24"/>
      <c r="Z582" s="24"/>
      <c r="AA582" s="24"/>
      <c r="AB582" s="24"/>
      <c r="AC582" s="25"/>
      <c r="AD582" s="25"/>
      <c r="AE582" s="25"/>
      <c r="AF582" s="25"/>
      <c r="AG582" s="25"/>
      <c r="AH582" s="16"/>
      <c r="AI582" s="25"/>
      <c r="AJ582" s="25"/>
      <c r="AL582" s="3"/>
      <c r="AM582" s="22"/>
      <c r="AN582" s="9"/>
      <c r="AO582" s="9"/>
      <c r="AP582" s="9"/>
      <c r="AQ582" s="9"/>
      <c r="AR582" s="2"/>
      <c r="AS582" s="31"/>
    </row>
    <row r="583" spans="1:45">
      <c r="A583" s="13">
        <v>34790</v>
      </c>
      <c r="B583" s="3">
        <v>71.121899999999997</v>
      </c>
      <c r="C583" s="24">
        <v>124945</v>
      </c>
      <c r="D583" s="24">
        <v>117005</v>
      </c>
      <c r="E583" s="2">
        <v>5.8</v>
      </c>
      <c r="F583" s="33">
        <v>2.9395000000000001E-2</v>
      </c>
      <c r="G583" s="33">
        <v>2.7959999999999999E-2</v>
      </c>
      <c r="H583" s="25">
        <v>8.0299999999999994</v>
      </c>
      <c r="I583" s="25">
        <v>8.6</v>
      </c>
      <c r="J583" s="25">
        <v>6.05</v>
      </c>
      <c r="K583" s="25">
        <v>6.13</v>
      </c>
      <c r="L583" s="25">
        <v>5.65</v>
      </c>
      <c r="M583" s="33">
        <v>55.3</v>
      </c>
      <c r="N583">
        <v>-0.16261</v>
      </c>
      <c r="O583" s="31">
        <v>350</v>
      </c>
      <c r="P583" s="38">
        <v>113.1446</v>
      </c>
      <c r="Q583" s="22">
        <v>0</v>
      </c>
      <c r="R583" s="38">
        <v>-0.25963700000000001</v>
      </c>
      <c r="T583" s="2"/>
      <c r="U583" s="2"/>
      <c r="V583" s="24"/>
      <c r="W583" s="24"/>
      <c r="X583" s="24"/>
      <c r="Y583" s="24"/>
      <c r="Z583" s="24"/>
      <c r="AA583" s="24"/>
      <c r="AB583" s="24"/>
      <c r="AC583" s="25"/>
      <c r="AD583" s="25"/>
      <c r="AE583" s="25"/>
      <c r="AF583" s="25"/>
      <c r="AG583" s="25"/>
      <c r="AH583" s="16"/>
      <c r="AI583" s="25"/>
      <c r="AJ583" s="25"/>
      <c r="AL583" s="3"/>
      <c r="AM583" s="22"/>
      <c r="AN583" s="9"/>
      <c r="AO583" s="9"/>
      <c r="AP583" s="9"/>
      <c r="AQ583" s="9"/>
      <c r="AR583" s="2"/>
      <c r="AS583" s="31"/>
    </row>
    <row r="584" spans="1:45">
      <c r="A584" s="13">
        <v>34820</v>
      </c>
      <c r="B584" s="3">
        <v>71.309299999999993</v>
      </c>
      <c r="C584" s="24">
        <v>124421</v>
      </c>
      <c r="D584" s="24">
        <v>116991</v>
      </c>
      <c r="E584" s="2">
        <v>5.6</v>
      </c>
      <c r="F584" s="33">
        <v>3.9808999999999997E-2</v>
      </c>
      <c r="G584" s="33">
        <v>3.6311999999999997E-2</v>
      </c>
      <c r="H584" s="25">
        <v>7.65</v>
      </c>
      <c r="I584" s="25">
        <v>8.1999999999999993</v>
      </c>
      <c r="J584" s="25">
        <v>6.01</v>
      </c>
      <c r="K584" s="25">
        <v>6.03</v>
      </c>
      <c r="L584" s="25">
        <v>5.67</v>
      </c>
      <c r="M584" s="33">
        <v>56</v>
      </c>
      <c r="N584">
        <v>-0.43503999999999998</v>
      </c>
      <c r="O584" s="31">
        <v>352.1</v>
      </c>
      <c r="P584" s="38">
        <v>124.6374</v>
      </c>
      <c r="Q584" s="22">
        <v>0.20918393075700001</v>
      </c>
      <c r="R584" s="38">
        <v>-0.40110499999999999</v>
      </c>
      <c r="T584" s="2"/>
      <c r="U584" s="2"/>
      <c r="V584" s="24"/>
      <c r="W584" s="24"/>
      <c r="X584" s="24"/>
      <c r="Y584" s="24"/>
      <c r="Z584" s="24"/>
      <c r="AA584" s="24"/>
      <c r="AB584" s="24"/>
      <c r="AC584" s="25"/>
      <c r="AD584" s="25"/>
      <c r="AE584" s="25"/>
      <c r="AF584" s="25"/>
      <c r="AG584" s="25"/>
      <c r="AH584" s="16"/>
      <c r="AI584" s="25"/>
      <c r="AJ584" s="25"/>
      <c r="AL584" s="3"/>
      <c r="AM584" s="22"/>
      <c r="AN584" s="9"/>
      <c r="AO584" s="9"/>
      <c r="AP584" s="9"/>
      <c r="AQ584" s="9"/>
      <c r="AR584" s="2"/>
      <c r="AS584" s="31"/>
    </row>
    <row r="585" spans="1:45">
      <c r="A585" s="13">
        <v>34851</v>
      </c>
      <c r="B585" s="3">
        <v>71.569699999999997</v>
      </c>
      <c r="C585" s="24">
        <v>124522</v>
      </c>
      <c r="D585" s="24">
        <v>117223</v>
      </c>
      <c r="E585" s="2">
        <v>5.6</v>
      </c>
      <c r="F585" s="33">
        <v>2.4154999999999999E-2</v>
      </c>
      <c r="G585" s="33">
        <v>2.1278999999999999E-2</v>
      </c>
      <c r="H585" s="25">
        <v>7.3</v>
      </c>
      <c r="I585" s="25">
        <v>7.9</v>
      </c>
      <c r="J585" s="25">
        <v>6</v>
      </c>
      <c r="K585" s="25">
        <v>5.89</v>
      </c>
      <c r="L585" s="25">
        <v>5.47</v>
      </c>
      <c r="M585" s="33">
        <v>53.3</v>
      </c>
      <c r="N585">
        <v>0.42163</v>
      </c>
      <c r="O585" s="31">
        <v>354.2</v>
      </c>
      <c r="P585" s="38">
        <v>137.76830000000001</v>
      </c>
      <c r="Q585" s="22">
        <v>0</v>
      </c>
      <c r="R585" s="38">
        <v>-0.186334</v>
      </c>
      <c r="T585" s="2"/>
      <c r="U585" s="2"/>
      <c r="V585" s="24"/>
      <c r="W585" s="24"/>
      <c r="X585" s="24"/>
      <c r="Y585" s="24"/>
      <c r="Z585" s="24"/>
      <c r="AA585" s="24"/>
      <c r="AB585" s="24"/>
      <c r="AC585" s="25"/>
      <c r="AD585" s="25"/>
      <c r="AE585" s="25"/>
      <c r="AF585" s="25"/>
      <c r="AG585" s="25"/>
      <c r="AH585" s="16"/>
      <c r="AI585" s="25"/>
      <c r="AJ585" s="25"/>
      <c r="AL585" s="3"/>
      <c r="AM585" s="22"/>
      <c r="AN585" s="9"/>
      <c r="AO585" s="9"/>
      <c r="AP585" s="9"/>
      <c r="AQ585" s="9"/>
      <c r="AR585" s="2"/>
      <c r="AS585" s="31"/>
    </row>
    <row r="586" spans="1:45">
      <c r="A586" s="13">
        <v>34881</v>
      </c>
      <c r="B586" s="3">
        <v>71.294200000000004</v>
      </c>
      <c r="C586" s="24">
        <v>124816</v>
      </c>
      <c r="D586" s="24">
        <v>117302</v>
      </c>
      <c r="E586" s="2">
        <v>5.7</v>
      </c>
      <c r="F586" s="33">
        <v>3.3404999999999997E-2</v>
      </c>
      <c r="G586" s="33">
        <v>3.1775999999999999E-2</v>
      </c>
      <c r="H586" s="25">
        <v>7.41</v>
      </c>
      <c r="I586" s="25">
        <v>8.0399999999999991</v>
      </c>
      <c r="J586" s="25">
        <v>5.85</v>
      </c>
      <c r="K586" s="25">
        <v>5.79</v>
      </c>
      <c r="L586" s="25">
        <v>5.42</v>
      </c>
      <c r="M586" s="33">
        <v>48.3</v>
      </c>
      <c r="N586">
        <v>-0.54151000000000005</v>
      </c>
      <c r="O586" s="31">
        <v>345.6</v>
      </c>
      <c r="P586" s="38">
        <v>118.5844</v>
      </c>
      <c r="Q586" s="22">
        <v>-6.0180131440000003E-3</v>
      </c>
      <c r="R586" s="38">
        <v>-0.34639300000000001</v>
      </c>
      <c r="T586" s="2"/>
      <c r="U586" s="2"/>
      <c r="V586" s="24"/>
      <c r="W586" s="24"/>
      <c r="X586" s="24"/>
      <c r="Y586" s="24"/>
      <c r="Z586" s="24"/>
      <c r="AA586" s="24"/>
      <c r="AB586" s="24"/>
      <c r="AC586" s="25"/>
      <c r="AD586" s="25"/>
      <c r="AE586" s="25"/>
      <c r="AF586" s="25"/>
      <c r="AG586" s="25"/>
      <c r="AH586" s="16"/>
      <c r="AI586" s="25"/>
      <c r="AJ586" s="25"/>
      <c r="AL586" s="3"/>
      <c r="AM586" s="22"/>
      <c r="AN586" s="9"/>
      <c r="AO586" s="9"/>
      <c r="AP586" s="9"/>
      <c r="AQ586" s="9"/>
      <c r="AR586" s="2"/>
      <c r="AS586" s="31"/>
    </row>
    <row r="587" spans="1:45">
      <c r="A587" s="13">
        <v>34912</v>
      </c>
      <c r="B587" s="3">
        <v>72.233400000000003</v>
      </c>
      <c r="C587" s="24">
        <v>124852</v>
      </c>
      <c r="D587" s="24">
        <v>117577</v>
      </c>
      <c r="E587" s="2">
        <v>5.7</v>
      </c>
      <c r="F587" s="33">
        <v>3.4949999999999998E-3</v>
      </c>
      <c r="G587" s="33">
        <v>-3.2000000000000003E-4</v>
      </c>
      <c r="H587" s="25">
        <v>7.57</v>
      </c>
      <c r="I587" s="25">
        <v>8.19</v>
      </c>
      <c r="J587" s="25">
        <v>5.74</v>
      </c>
      <c r="K587" s="25">
        <v>5.79</v>
      </c>
      <c r="L587" s="25">
        <v>5.4</v>
      </c>
      <c r="M587" s="33">
        <v>49.1</v>
      </c>
      <c r="N587">
        <v>-5.3538000000000002E-2</v>
      </c>
      <c r="O587" s="31">
        <v>339.4</v>
      </c>
      <c r="P587" s="38">
        <v>97.002139999999997</v>
      </c>
      <c r="Q587" s="22">
        <v>-9.0617835655000006E-2</v>
      </c>
      <c r="R587" s="38">
        <v>-0.24829899999999999</v>
      </c>
      <c r="T587" s="2"/>
      <c r="U587" s="2"/>
      <c r="V587" s="24"/>
      <c r="W587" s="24"/>
      <c r="X587" s="24"/>
      <c r="Y587" s="24"/>
      <c r="Z587" s="24"/>
      <c r="AA587" s="24"/>
      <c r="AB587" s="24"/>
      <c r="AC587" s="25"/>
      <c r="AD587" s="25"/>
      <c r="AE587" s="25"/>
      <c r="AF587" s="25"/>
      <c r="AG587" s="25"/>
      <c r="AH587" s="16"/>
      <c r="AI587" s="25"/>
      <c r="AJ587" s="25"/>
      <c r="AL587" s="3"/>
      <c r="AM587" s="22"/>
      <c r="AN587" s="9"/>
      <c r="AO587" s="9"/>
      <c r="AP587" s="9"/>
      <c r="AQ587" s="9"/>
      <c r="AR587" s="2"/>
      <c r="AS587" s="31"/>
    </row>
    <row r="588" spans="1:45">
      <c r="A588" s="13">
        <v>34943</v>
      </c>
      <c r="B588" s="3">
        <v>72.500200000000007</v>
      </c>
      <c r="C588" s="24">
        <v>125133</v>
      </c>
      <c r="D588" s="24">
        <v>117821</v>
      </c>
      <c r="E588" s="2">
        <v>5.6</v>
      </c>
      <c r="F588" s="33">
        <v>4.2102000000000001E-2</v>
      </c>
      <c r="G588" s="33">
        <v>4.0098000000000002E-2</v>
      </c>
      <c r="H588" s="25">
        <v>7.32</v>
      </c>
      <c r="I588" s="25">
        <v>7.93</v>
      </c>
      <c r="J588" s="25">
        <v>5.8</v>
      </c>
      <c r="K588" s="25">
        <v>5.74</v>
      </c>
      <c r="L588" s="25">
        <v>5.28</v>
      </c>
      <c r="M588" s="33">
        <v>51.4</v>
      </c>
      <c r="N588">
        <v>1.5872999999999999</v>
      </c>
      <c r="O588" s="31">
        <v>334.3</v>
      </c>
      <c r="P588" s="38">
        <v>126.5398</v>
      </c>
      <c r="Q588" s="22">
        <v>2.4891553757000001E-2</v>
      </c>
      <c r="R588" s="38">
        <v>-0.20660700000000001</v>
      </c>
      <c r="T588" s="2"/>
      <c r="U588" s="2"/>
      <c r="V588" s="24"/>
      <c r="W588" s="24"/>
      <c r="X588" s="24"/>
      <c r="Y588" s="24"/>
      <c r="Z588" s="24"/>
      <c r="AA588" s="24"/>
      <c r="AB588" s="24"/>
      <c r="AC588" s="25"/>
      <c r="AD588" s="25"/>
      <c r="AE588" s="25"/>
      <c r="AF588" s="25"/>
      <c r="AG588" s="25"/>
      <c r="AH588" s="16"/>
      <c r="AI588" s="25"/>
      <c r="AJ588" s="25"/>
      <c r="AL588" s="3"/>
      <c r="AM588" s="22"/>
      <c r="AN588" s="9"/>
      <c r="AO588" s="9"/>
      <c r="AP588" s="9"/>
      <c r="AQ588" s="9"/>
      <c r="AR588" s="2"/>
      <c r="AS588" s="31"/>
    </row>
    <row r="589" spans="1:45">
      <c r="A589" s="13">
        <v>34973</v>
      </c>
      <c r="B589" s="3">
        <v>72.371399999999994</v>
      </c>
      <c r="C589" s="24">
        <v>125388</v>
      </c>
      <c r="D589" s="24">
        <v>117971</v>
      </c>
      <c r="E589" s="2">
        <v>5.5</v>
      </c>
      <c r="F589" s="33">
        <v>-3.4420000000000002E-3</v>
      </c>
      <c r="G589" s="33">
        <v>-4.9789999999999999E-3</v>
      </c>
      <c r="H589" s="25">
        <v>7.12</v>
      </c>
      <c r="I589" s="25">
        <v>7.75</v>
      </c>
      <c r="J589" s="25">
        <v>5.76</v>
      </c>
      <c r="K589" s="25">
        <v>5.81</v>
      </c>
      <c r="L589" s="25">
        <v>5.28</v>
      </c>
      <c r="M589" s="33">
        <v>48.3</v>
      </c>
      <c r="N589">
        <v>0.13394</v>
      </c>
      <c r="O589" s="31">
        <v>332.3</v>
      </c>
      <c r="P589" s="38">
        <v>137.44210000000001</v>
      </c>
      <c r="Q589" s="22">
        <v>0</v>
      </c>
      <c r="R589" s="38">
        <v>-0.177507</v>
      </c>
      <c r="T589" s="2"/>
      <c r="U589" s="2"/>
      <c r="V589" s="24"/>
      <c r="W589" s="24"/>
      <c r="X589" s="24"/>
      <c r="Y589" s="24"/>
      <c r="Z589" s="24"/>
      <c r="AA589" s="24"/>
      <c r="AB589" s="24"/>
      <c r="AC589" s="25"/>
      <c r="AD589" s="25"/>
      <c r="AE589" s="25"/>
      <c r="AF589" s="25"/>
      <c r="AG589" s="25"/>
      <c r="AH589" s="16"/>
      <c r="AI589" s="25"/>
      <c r="AJ589" s="25"/>
      <c r="AL589" s="3"/>
      <c r="AM589" s="22"/>
      <c r="AN589" s="9"/>
      <c r="AO589" s="9"/>
      <c r="AP589" s="9"/>
      <c r="AQ589" s="9"/>
      <c r="AR589" s="2"/>
      <c r="AS589" s="31"/>
    </row>
    <row r="590" spans="1:45">
      <c r="A590" s="13">
        <v>35004</v>
      </c>
      <c r="B590" s="3">
        <v>72.558700000000002</v>
      </c>
      <c r="C590" s="24">
        <v>125188</v>
      </c>
      <c r="D590" s="24">
        <v>118119</v>
      </c>
      <c r="E590" s="2">
        <v>5.6</v>
      </c>
      <c r="F590" s="33">
        <v>4.4028999999999999E-2</v>
      </c>
      <c r="G590" s="33">
        <v>4.1049000000000002E-2</v>
      </c>
      <c r="H590" s="25">
        <v>7.02</v>
      </c>
      <c r="I590" s="25">
        <v>7.68</v>
      </c>
      <c r="J590" s="25">
        <v>5.8</v>
      </c>
      <c r="K590" s="25">
        <v>5.75</v>
      </c>
      <c r="L590" s="25">
        <v>5.36</v>
      </c>
      <c r="M590" s="33">
        <v>49</v>
      </c>
      <c r="N590">
        <v>0.74450000000000005</v>
      </c>
      <c r="O590" s="31">
        <v>339.2</v>
      </c>
      <c r="P590" s="38">
        <v>146.87</v>
      </c>
      <c r="Q590" s="22">
        <v>5.2099296954E-2</v>
      </c>
      <c r="R590" s="38">
        <v>-9.4140000000000001E-2</v>
      </c>
      <c r="T590" s="2"/>
      <c r="U590" s="2"/>
      <c r="V590" s="24"/>
      <c r="W590" s="24"/>
      <c r="X590" s="24"/>
      <c r="Y590" s="24"/>
      <c r="Z590" s="24"/>
      <c r="AA590" s="24"/>
      <c r="AB590" s="24"/>
      <c r="AC590" s="25"/>
      <c r="AD590" s="25"/>
      <c r="AE590" s="25"/>
      <c r="AF590" s="25"/>
      <c r="AG590" s="25"/>
      <c r="AH590" s="16"/>
      <c r="AI590" s="25"/>
      <c r="AJ590" s="25"/>
      <c r="AL590" s="3"/>
      <c r="AM590" s="22"/>
      <c r="AN590" s="9"/>
      <c r="AO590" s="9"/>
      <c r="AP590" s="9"/>
      <c r="AQ590" s="9"/>
      <c r="AR590" s="2"/>
      <c r="AS590" s="31"/>
    </row>
    <row r="591" spans="1:45">
      <c r="A591" s="13">
        <v>35034</v>
      </c>
      <c r="B591" s="3">
        <v>72.839500000000001</v>
      </c>
      <c r="C591" s="24">
        <v>125088</v>
      </c>
      <c r="D591" s="24">
        <v>118251</v>
      </c>
      <c r="E591" s="2">
        <v>5.6</v>
      </c>
      <c r="F591" s="33">
        <v>1.7642999999999999E-2</v>
      </c>
      <c r="G591" s="33">
        <v>1.7444000000000001E-2</v>
      </c>
      <c r="H591" s="25">
        <v>6.82</v>
      </c>
      <c r="I591" s="25">
        <v>7.49</v>
      </c>
      <c r="J591" s="25">
        <v>5.6</v>
      </c>
      <c r="K591" s="25">
        <v>5.64</v>
      </c>
      <c r="L591" s="25">
        <v>5.14</v>
      </c>
      <c r="M591" s="33">
        <v>52.2</v>
      </c>
      <c r="N591">
        <v>-0.77954999999999997</v>
      </c>
      <c r="O591" s="31">
        <v>333.6</v>
      </c>
      <c r="P591" s="38">
        <v>142.6353</v>
      </c>
      <c r="Q591" s="22">
        <v>-0.17055498203</v>
      </c>
      <c r="R591" s="38">
        <v>-8.6284E-2</v>
      </c>
      <c r="T591" s="2"/>
      <c r="U591" s="2"/>
      <c r="V591" s="24"/>
      <c r="W591" s="24"/>
      <c r="X591" s="24"/>
      <c r="Y591" s="24"/>
      <c r="Z591" s="24"/>
      <c r="AA591" s="24"/>
      <c r="AB591" s="24"/>
      <c r="AC591" s="25"/>
      <c r="AD591" s="25"/>
      <c r="AE591" s="25"/>
      <c r="AF591" s="25"/>
      <c r="AG591" s="25"/>
      <c r="AH591" s="16"/>
      <c r="AI591" s="25"/>
      <c r="AJ591" s="25"/>
      <c r="AL591" s="3"/>
      <c r="AM591" s="22"/>
      <c r="AN591" s="9"/>
      <c r="AO591" s="9"/>
      <c r="AP591" s="9"/>
      <c r="AQ591" s="9"/>
      <c r="AR591" s="2"/>
      <c r="AS591" s="31"/>
    </row>
    <row r="592" spans="1:45">
      <c r="A592" s="13">
        <v>35065</v>
      </c>
      <c r="B592" s="3">
        <v>72.359300000000005</v>
      </c>
      <c r="C592" s="24">
        <v>125125</v>
      </c>
      <c r="D592" s="24">
        <v>118229</v>
      </c>
      <c r="E592" s="2">
        <v>5.6</v>
      </c>
      <c r="F592" s="33">
        <v>3.4861000000000003E-2</v>
      </c>
      <c r="G592" s="33">
        <v>3.2617E-2</v>
      </c>
      <c r="H592" s="25">
        <v>6.81</v>
      </c>
      <c r="I592" s="25">
        <v>7.47</v>
      </c>
      <c r="J592" s="25">
        <v>5.56</v>
      </c>
      <c r="K592" s="25">
        <v>5.4</v>
      </c>
      <c r="L592" s="25">
        <v>5</v>
      </c>
      <c r="M592" s="33">
        <v>56</v>
      </c>
      <c r="N592">
        <v>0.40849999999999997</v>
      </c>
      <c r="O592" s="31">
        <v>330.7</v>
      </c>
      <c r="P592" s="38">
        <v>160.6335</v>
      </c>
      <c r="Q592" s="22">
        <v>7.3325448855000003E-2</v>
      </c>
      <c r="R592" s="38">
        <v>-0.11539099999999999</v>
      </c>
      <c r="T592" s="2"/>
      <c r="U592" s="2"/>
      <c r="V592" s="24"/>
      <c r="W592" s="24"/>
      <c r="X592" s="24"/>
      <c r="Y592" s="24"/>
      <c r="Z592" s="24"/>
      <c r="AA592" s="24"/>
      <c r="AB592" s="24"/>
      <c r="AC592" s="25"/>
      <c r="AD592" s="25"/>
      <c r="AE592" s="25"/>
      <c r="AF592" s="25"/>
      <c r="AG592" s="25"/>
      <c r="AH592" s="16"/>
      <c r="AI592" s="25"/>
      <c r="AJ592" s="25"/>
      <c r="AL592" s="3"/>
      <c r="AM592" s="22"/>
      <c r="AN592" s="9"/>
      <c r="AO592" s="9"/>
      <c r="AP592" s="9"/>
      <c r="AQ592" s="9"/>
      <c r="AR592" s="2"/>
      <c r="AS592" s="31"/>
    </row>
    <row r="593" spans="1:45">
      <c r="A593" s="13">
        <v>35096</v>
      </c>
      <c r="B593" s="3">
        <v>73.513599999999997</v>
      </c>
      <c r="C593" s="24">
        <v>125639</v>
      </c>
      <c r="D593" s="24">
        <v>118664</v>
      </c>
      <c r="E593" s="2">
        <v>5.5</v>
      </c>
      <c r="F593" s="33">
        <v>1.0087E-2</v>
      </c>
      <c r="G593" s="33">
        <v>6.9340000000000001E-3</v>
      </c>
      <c r="H593" s="25">
        <v>6.99</v>
      </c>
      <c r="I593" s="25">
        <v>7.63</v>
      </c>
      <c r="J593" s="25">
        <v>5.22</v>
      </c>
      <c r="K593" s="25">
        <v>5.14</v>
      </c>
      <c r="L593" s="25">
        <v>4.83</v>
      </c>
      <c r="M593" s="33">
        <v>52.8</v>
      </c>
      <c r="N593">
        <v>-1.4117</v>
      </c>
      <c r="O593" s="31">
        <v>327.9</v>
      </c>
      <c r="P593" s="38">
        <v>120.20780000000001</v>
      </c>
      <c r="Q593" s="22">
        <v>0</v>
      </c>
      <c r="R593" s="38">
        <v>-0.33021200000000001</v>
      </c>
      <c r="T593" s="2"/>
      <c r="U593" s="2"/>
      <c r="V593" s="24"/>
      <c r="W593" s="24"/>
      <c r="X593" s="24"/>
      <c r="Y593" s="24"/>
      <c r="Z593" s="24"/>
      <c r="AA593" s="24"/>
      <c r="AB593" s="24"/>
      <c r="AC593" s="25"/>
      <c r="AD593" s="25"/>
      <c r="AE593" s="25"/>
      <c r="AF593" s="25"/>
      <c r="AG593" s="25"/>
      <c r="AH593" s="16"/>
      <c r="AI593" s="25"/>
      <c r="AJ593" s="25"/>
      <c r="AL593" s="3"/>
      <c r="AM593" s="22"/>
      <c r="AN593" s="9"/>
      <c r="AO593" s="9"/>
      <c r="AP593" s="9"/>
      <c r="AQ593" s="9"/>
      <c r="AR593" s="2"/>
      <c r="AS593" s="31"/>
    </row>
    <row r="594" spans="1:45">
      <c r="A594" s="13">
        <v>35125</v>
      </c>
      <c r="B594" s="3">
        <v>73.3994</v>
      </c>
      <c r="C594" s="24">
        <v>125862</v>
      </c>
      <c r="D594" s="24">
        <v>118928</v>
      </c>
      <c r="E594" s="2">
        <v>5.5</v>
      </c>
      <c r="F594" s="33">
        <v>9.5849999999999998E-3</v>
      </c>
      <c r="G594" s="33">
        <v>7.9170000000000004E-3</v>
      </c>
      <c r="H594" s="25">
        <v>7.35</v>
      </c>
      <c r="I594" s="25">
        <v>8.0299999999999994</v>
      </c>
      <c r="J594" s="25">
        <v>5.31</v>
      </c>
      <c r="K594" s="25">
        <v>5.28</v>
      </c>
      <c r="L594" s="25">
        <v>4.96</v>
      </c>
      <c r="M594" s="33">
        <v>57.7</v>
      </c>
      <c r="N594">
        <v>0.84936999999999996</v>
      </c>
      <c r="O594" s="31">
        <v>330.4</v>
      </c>
      <c r="P594" s="38">
        <v>133.16990000000001</v>
      </c>
      <c r="Q594" s="22">
        <v>5.6453419699000001E-2</v>
      </c>
      <c r="R594" s="38">
        <v>-0.34113399999999999</v>
      </c>
      <c r="T594" s="2"/>
      <c r="U594" s="2"/>
      <c r="V594" s="24"/>
      <c r="W594" s="24"/>
      <c r="X594" s="24"/>
      <c r="Y594" s="24"/>
      <c r="Z594" s="24"/>
      <c r="AA594" s="24"/>
      <c r="AB594" s="24"/>
      <c r="AC594" s="25"/>
      <c r="AD594" s="25"/>
      <c r="AE594" s="25"/>
      <c r="AF594" s="25"/>
      <c r="AG594" s="25"/>
      <c r="AH594" s="16"/>
      <c r="AI594" s="25"/>
      <c r="AJ594" s="25"/>
      <c r="AL594" s="3"/>
      <c r="AM594" s="22"/>
      <c r="AN594" s="9"/>
      <c r="AO594" s="9"/>
      <c r="AP594" s="9"/>
      <c r="AQ594" s="9"/>
      <c r="AR594" s="2"/>
      <c r="AS594" s="31"/>
    </row>
    <row r="595" spans="1:45">
      <c r="A595" s="13">
        <v>35156</v>
      </c>
      <c r="B595" s="3">
        <v>74.014099999999999</v>
      </c>
      <c r="C595" s="24">
        <v>125994</v>
      </c>
      <c r="D595" s="24">
        <v>119090</v>
      </c>
      <c r="E595" s="2">
        <v>5.6</v>
      </c>
      <c r="F595" s="33">
        <v>1.5133000000000001E-2</v>
      </c>
      <c r="G595" s="33">
        <v>1.3431E-2</v>
      </c>
      <c r="H595" s="25">
        <v>7.5</v>
      </c>
      <c r="I595" s="25">
        <v>8.19</v>
      </c>
      <c r="J595" s="25">
        <v>5.22</v>
      </c>
      <c r="K595" s="25">
        <v>5.36</v>
      </c>
      <c r="L595" s="25">
        <v>4.95</v>
      </c>
      <c r="M595" s="33">
        <v>66</v>
      </c>
      <c r="N595">
        <v>-6.7604999999999998E-2</v>
      </c>
      <c r="O595" s="31">
        <v>333.5</v>
      </c>
      <c r="P595" s="38">
        <v>113.25749999999999</v>
      </c>
      <c r="Q595" s="22">
        <v>0</v>
      </c>
      <c r="R595" s="38">
        <v>-0.29527700000000001</v>
      </c>
      <c r="T595" s="2"/>
      <c r="U595" s="2"/>
      <c r="V595" s="24"/>
      <c r="W595" s="24"/>
      <c r="X595" s="24"/>
      <c r="Y595" s="24"/>
      <c r="Z595" s="24"/>
      <c r="AA595" s="24"/>
      <c r="AB595" s="24"/>
      <c r="AC595" s="25"/>
      <c r="AD595" s="25"/>
      <c r="AE595" s="25"/>
      <c r="AF595" s="25"/>
      <c r="AG595" s="25"/>
      <c r="AH595" s="16"/>
      <c r="AI595" s="25"/>
      <c r="AJ595" s="25"/>
      <c r="AL595" s="3"/>
      <c r="AM595" s="22"/>
      <c r="AN595" s="9"/>
      <c r="AO595" s="9"/>
      <c r="AP595" s="9"/>
      <c r="AQ595" s="9"/>
      <c r="AR595" s="2"/>
      <c r="AS595" s="31"/>
    </row>
    <row r="596" spans="1:45">
      <c r="A596" s="13">
        <v>35186</v>
      </c>
      <c r="B596" s="3">
        <v>74.529700000000005</v>
      </c>
      <c r="C596" s="24">
        <v>126244</v>
      </c>
      <c r="D596" s="24">
        <v>119413</v>
      </c>
      <c r="E596" s="2">
        <v>5.6</v>
      </c>
      <c r="F596" s="33">
        <v>2.5257000000000002E-2</v>
      </c>
      <c r="G596" s="33">
        <v>2.2852999999999998E-2</v>
      </c>
      <c r="H596" s="25">
        <v>7.62</v>
      </c>
      <c r="I596" s="25">
        <v>8.3000000000000007</v>
      </c>
      <c r="J596" s="25">
        <v>5.24</v>
      </c>
      <c r="K596" s="25">
        <v>5.36</v>
      </c>
      <c r="L596" s="25">
        <v>5.0199999999999996</v>
      </c>
      <c r="M596" s="33">
        <v>61</v>
      </c>
      <c r="N596">
        <v>-3.2936E-2</v>
      </c>
      <c r="O596" s="31">
        <v>340.9</v>
      </c>
      <c r="P596" s="38">
        <v>92.736490000000003</v>
      </c>
      <c r="Q596" s="22">
        <v>-2.6919644297E-2</v>
      </c>
      <c r="R596" s="38">
        <v>-0.32873999999999998</v>
      </c>
      <c r="T596" s="2"/>
      <c r="U596" s="2"/>
      <c r="V596" s="24"/>
      <c r="W596" s="24"/>
      <c r="X596" s="24"/>
      <c r="Y596" s="24"/>
      <c r="Z596" s="24"/>
      <c r="AA596" s="24"/>
      <c r="AB596" s="24"/>
      <c r="AC596" s="25"/>
      <c r="AD596" s="25"/>
      <c r="AE596" s="25"/>
      <c r="AF596" s="25"/>
      <c r="AG596" s="25"/>
      <c r="AH596" s="16"/>
      <c r="AI596" s="25"/>
      <c r="AJ596" s="25"/>
      <c r="AL596" s="3"/>
      <c r="AM596" s="22"/>
      <c r="AN596" s="9"/>
      <c r="AO596" s="9"/>
      <c r="AP596" s="9"/>
      <c r="AQ596" s="9"/>
      <c r="AR596" s="2"/>
      <c r="AS596" s="31"/>
    </row>
    <row r="597" spans="1:45">
      <c r="A597" s="13">
        <v>35217</v>
      </c>
      <c r="B597" s="3">
        <v>75.192599999999999</v>
      </c>
      <c r="C597" s="24">
        <v>126602</v>
      </c>
      <c r="D597" s="24">
        <v>119694</v>
      </c>
      <c r="E597" s="2">
        <v>5.3</v>
      </c>
      <c r="F597" s="33">
        <v>4.1279999999999997E-3</v>
      </c>
      <c r="G597" s="33">
        <v>2.2569999999999999E-3</v>
      </c>
      <c r="H597" s="25">
        <v>7.71</v>
      </c>
      <c r="I597" s="25">
        <v>8.4</v>
      </c>
      <c r="J597" s="25">
        <v>5.27</v>
      </c>
      <c r="K597" s="25">
        <v>5.46</v>
      </c>
      <c r="L597" s="25">
        <v>5.09</v>
      </c>
      <c r="M597" s="33">
        <v>57.7</v>
      </c>
      <c r="N597">
        <v>-0.24082999999999999</v>
      </c>
      <c r="O597" s="31">
        <v>336.1</v>
      </c>
      <c r="P597" s="38">
        <v>127.9693</v>
      </c>
      <c r="Q597" s="22">
        <v>0</v>
      </c>
      <c r="R597" s="38">
        <v>-0.30496699999999999</v>
      </c>
      <c r="T597" s="2"/>
      <c r="U597" s="2"/>
      <c r="V597" s="24"/>
      <c r="W597" s="24"/>
      <c r="X597" s="24"/>
      <c r="Y597" s="24"/>
      <c r="Z597" s="24"/>
      <c r="AA597" s="24"/>
      <c r="AB597" s="24"/>
      <c r="AC597" s="25"/>
      <c r="AD597" s="25"/>
      <c r="AE597" s="25"/>
      <c r="AF597" s="25"/>
      <c r="AG597" s="25"/>
      <c r="AH597" s="16"/>
      <c r="AI597" s="25"/>
      <c r="AJ597" s="25"/>
      <c r="AL597" s="3"/>
      <c r="AM597" s="22"/>
      <c r="AN597" s="9"/>
      <c r="AO597" s="9"/>
      <c r="AP597" s="9"/>
      <c r="AQ597" s="9"/>
      <c r="AR597" s="2"/>
      <c r="AS597" s="31"/>
    </row>
    <row r="598" spans="1:45">
      <c r="A598" s="13">
        <v>35247</v>
      </c>
      <c r="B598" s="3">
        <v>75.093199999999996</v>
      </c>
      <c r="C598" s="24">
        <v>126947</v>
      </c>
      <c r="D598" s="24">
        <v>119928</v>
      </c>
      <c r="E598" s="2">
        <v>5.5</v>
      </c>
      <c r="F598" s="33">
        <v>-4.4441000000000001E-2</v>
      </c>
      <c r="G598" s="33">
        <v>-4.5747999999999997E-2</v>
      </c>
      <c r="H598" s="25">
        <v>7.65</v>
      </c>
      <c r="I598" s="25">
        <v>8.35</v>
      </c>
      <c r="J598" s="25">
        <v>5.4</v>
      </c>
      <c r="K598" s="25">
        <v>5.49</v>
      </c>
      <c r="L598" s="25">
        <v>5.15</v>
      </c>
      <c r="M598" s="33">
        <v>59.9</v>
      </c>
      <c r="N598">
        <v>0.25026999999999999</v>
      </c>
      <c r="O598" s="31">
        <v>334.4</v>
      </c>
      <c r="P598" s="38">
        <v>114.44110000000001</v>
      </c>
      <c r="Q598" s="22">
        <v>-3.9961318639000001E-2</v>
      </c>
      <c r="R598" s="38">
        <v>-0.37374600000000002</v>
      </c>
      <c r="T598" s="2"/>
      <c r="U598" s="2"/>
      <c r="V598" s="24"/>
      <c r="W598" s="24"/>
      <c r="X598" s="24"/>
      <c r="Y598" s="24"/>
      <c r="Z598" s="24"/>
      <c r="AA598" s="24"/>
      <c r="AB598" s="24"/>
      <c r="AC598" s="25"/>
      <c r="AD598" s="25"/>
      <c r="AE598" s="25"/>
      <c r="AF598" s="25"/>
      <c r="AG598" s="25"/>
      <c r="AH598" s="16"/>
      <c r="AI598" s="25"/>
      <c r="AJ598" s="25"/>
      <c r="AL598" s="3"/>
      <c r="AM598" s="22"/>
      <c r="AN598" s="9"/>
      <c r="AO598" s="9"/>
      <c r="AP598" s="9"/>
      <c r="AQ598" s="9"/>
      <c r="AR598" s="2"/>
      <c r="AS598" s="31"/>
    </row>
    <row r="599" spans="1:45">
      <c r="A599" s="13">
        <v>35278</v>
      </c>
      <c r="B599" s="3">
        <v>75.582099999999997</v>
      </c>
      <c r="C599" s="24">
        <v>127172</v>
      </c>
      <c r="D599" s="24">
        <v>120127</v>
      </c>
      <c r="E599" s="2">
        <v>5.0999999999999996</v>
      </c>
      <c r="F599" s="33">
        <v>2.1928E-2</v>
      </c>
      <c r="G599" s="33">
        <v>1.8814000000000001E-2</v>
      </c>
      <c r="H599" s="25">
        <v>7.46</v>
      </c>
      <c r="I599" s="25">
        <v>8.18</v>
      </c>
      <c r="J599" s="25">
        <v>5.22</v>
      </c>
      <c r="K599" s="25">
        <v>5.41</v>
      </c>
      <c r="L599" s="25">
        <v>5.05</v>
      </c>
      <c r="M599" s="33">
        <v>62</v>
      </c>
      <c r="N599">
        <v>-0.94608999999999999</v>
      </c>
      <c r="O599" s="31">
        <v>343.3</v>
      </c>
      <c r="P599" s="38">
        <v>114.4894</v>
      </c>
      <c r="Q599" s="22">
        <v>-6.5339568338999995E-2</v>
      </c>
      <c r="R599" s="38">
        <v>-0.43759100000000001</v>
      </c>
      <c r="T599" s="2"/>
      <c r="U599" s="2"/>
      <c r="V599" s="24"/>
      <c r="W599" s="24"/>
      <c r="X599" s="24"/>
      <c r="Y599" s="24"/>
      <c r="Z599" s="24"/>
      <c r="AA599" s="24"/>
      <c r="AB599" s="24"/>
      <c r="AC599" s="25"/>
      <c r="AD599" s="25"/>
      <c r="AE599" s="25"/>
      <c r="AF599" s="25"/>
      <c r="AG599" s="25"/>
      <c r="AH599" s="16"/>
      <c r="AI599" s="25"/>
      <c r="AJ599" s="25"/>
      <c r="AL599" s="3"/>
      <c r="AM599" s="22"/>
      <c r="AN599" s="9"/>
      <c r="AO599" s="9"/>
      <c r="AP599" s="9"/>
      <c r="AQ599" s="9"/>
      <c r="AR599" s="2"/>
      <c r="AS599" s="31"/>
    </row>
    <row r="600" spans="1:45">
      <c r="A600" s="13">
        <v>35309</v>
      </c>
      <c r="B600" s="3">
        <v>75.983500000000006</v>
      </c>
      <c r="C600" s="24">
        <v>127536</v>
      </c>
      <c r="D600" s="24">
        <v>120347</v>
      </c>
      <c r="E600" s="2">
        <v>5.2</v>
      </c>
      <c r="F600" s="33">
        <v>5.6035000000000001E-2</v>
      </c>
      <c r="G600" s="33">
        <v>5.4172999999999999E-2</v>
      </c>
      <c r="H600" s="25">
        <v>7.66</v>
      </c>
      <c r="I600" s="25">
        <v>8.35</v>
      </c>
      <c r="J600" s="25">
        <v>5.3</v>
      </c>
      <c r="K600" s="25">
        <v>5.49</v>
      </c>
      <c r="L600" s="25">
        <v>5.09</v>
      </c>
      <c r="M600" s="33">
        <v>67.2</v>
      </c>
      <c r="N600">
        <v>0.11804000000000001</v>
      </c>
      <c r="O600" s="31">
        <v>343.7</v>
      </c>
      <c r="P600" s="38">
        <v>104.9421</v>
      </c>
      <c r="Q600" s="22">
        <v>-4.2441253800000002E-2</v>
      </c>
      <c r="R600" s="38">
        <v>-0.42486200000000002</v>
      </c>
      <c r="T600" s="2"/>
      <c r="U600" s="2"/>
      <c r="V600" s="24"/>
      <c r="W600" s="24"/>
      <c r="X600" s="24"/>
      <c r="Y600" s="24"/>
      <c r="Z600" s="24"/>
      <c r="AA600" s="24"/>
      <c r="AB600" s="24"/>
      <c r="AC600" s="25"/>
      <c r="AD600" s="25"/>
      <c r="AE600" s="25"/>
      <c r="AF600" s="25"/>
      <c r="AG600" s="25"/>
      <c r="AH600" s="16"/>
      <c r="AI600" s="25"/>
      <c r="AJ600" s="25"/>
      <c r="AL600" s="3"/>
      <c r="AM600" s="22"/>
      <c r="AN600" s="9"/>
      <c r="AO600" s="9"/>
      <c r="AP600" s="9"/>
      <c r="AQ600" s="9"/>
      <c r="AR600" s="2"/>
      <c r="AS600" s="31"/>
    </row>
    <row r="601" spans="1:45">
      <c r="A601" s="13">
        <v>35339</v>
      </c>
      <c r="B601" s="3">
        <v>75.986699999999999</v>
      </c>
      <c r="C601" s="24">
        <v>127890</v>
      </c>
      <c r="D601" s="24">
        <v>120594</v>
      </c>
      <c r="E601" s="2">
        <v>5.2</v>
      </c>
      <c r="F601" s="33">
        <v>2.6797999999999999E-2</v>
      </c>
      <c r="G601" s="33">
        <v>2.6131000000000001E-2</v>
      </c>
      <c r="H601" s="25">
        <v>7.39</v>
      </c>
      <c r="I601" s="25">
        <v>8.07</v>
      </c>
      <c r="J601" s="25">
        <v>5.24</v>
      </c>
      <c r="K601" s="25">
        <v>5.41</v>
      </c>
      <c r="L601" s="25">
        <v>4.99</v>
      </c>
      <c r="M601" s="33">
        <v>72</v>
      </c>
      <c r="N601">
        <v>-0.28664000000000001</v>
      </c>
      <c r="O601" s="31">
        <v>334.7</v>
      </c>
      <c r="P601" s="38">
        <v>102.2068</v>
      </c>
      <c r="Q601" s="22">
        <v>0</v>
      </c>
      <c r="R601" s="38">
        <v>-0.38107799999999997</v>
      </c>
      <c r="T601" s="2"/>
      <c r="U601" s="2"/>
      <c r="V601" s="24"/>
      <c r="W601" s="24"/>
      <c r="X601" s="24"/>
      <c r="Y601" s="24"/>
      <c r="Z601" s="24"/>
      <c r="AA601" s="24"/>
      <c r="AB601" s="24"/>
      <c r="AC601" s="25"/>
      <c r="AD601" s="25"/>
      <c r="AE601" s="25"/>
      <c r="AF601" s="25"/>
      <c r="AG601" s="25"/>
      <c r="AH601" s="16"/>
      <c r="AI601" s="25"/>
      <c r="AJ601" s="25"/>
      <c r="AL601" s="3"/>
      <c r="AM601" s="22"/>
      <c r="AN601" s="9"/>
      <c r="AO601" s="9"/>
      <c r="AP601" s="9"/>
      <c r="AQ601" s="9"/>
      <c r="AR601" s="2"/>
      <c r="AS601" s="31"/>
    </row>
    <row r="602" spans="1:45">
      <c r="A602" s="13">
        <v>35370</v>
      </c>
      <c r="B602" s="3">
        <v>76.611099999999993</v>
      </c>
      <c r="C602" s="24">
        <v>127771</v>
      </c>
      <c r="D602" s="24">
        <v>120893</v>
      </c>
      <c r="E602" s="2">
        <v>5.4</v>
      </c>
      <c r="F602" s="33">
        <v>7.6454999999999995E-2</v>
      </c>
      <c r="G602" s="33">
        <v>7.3375999999999997E-2</v>
      </c>
      <c r="H602" s="25">
        <v>7.1</v>
      </c>
      <c r="I602" s="25">
        <v>7.79</v>
      </c>
      <c r="J602" s="25">
        <v>5.31</v>
      </c>
      <c r="K602" s="25">
        <v>5.38</v>
      </c>
      <c r="L602" s="25">
        <v>5.03</v>
      </c>
      <c r="M602" s="33">
        <v>68.5</v>
      </c>
      <c r="N602">
        <v>0.24576999999999999</v>
      </c>
      <c r="O602" s="31">
        <v>330.3</v>
      </c>
      <c r="P602" s="38">
        <v>121.49630000000001</v>
      </c>
      <c r="Q602" s="22">
        <v>4.7588518024E-2</v>
      </c>
      <c r="R602" s="38">
        <v>-0.34901500000000002</v>
      </c>
      <c r="T602" s="2"/>
      <c r="U602" s="2"/>
      <c r="V602" s="24"/>
      <c r="W602" s="24"/>
      <c r="X602" s="24"/>
      <c r="Y602" s="24"/>
      <c r="Z602" s="24"/>
      <c r="AA602" s="24"/>
      <c r="AB602" s="24"/>
      <c r="AC602" s="25"/>
      <c r="AD602" s="25"/>
      <c r="AE602" s="25"/>
      <c r="AF602" s="25"/>
      <c r="AG602" s="25"/>
      <c r="AH602" s="16"/>
      <c r="AI602" s="25"/>
      <c r="AJ602" s="25"/>
      <c r="AL602" s="3"/>
      <c r="AM602" s="22"/>
      <c r="AN602" s="9"/>
      <c r="AO602" s="9"/>
      <c r="AP602" s="9"/>
      <c r="AQ602" s="9"/>
      <c r="AR602" s="2"/>
      <c r="AS602" s="31"/>
    </row>
    <row r="603" spans="1:45">
      <c r="A603" s="13">
        <v>35400</v>
      </c>
      <c r="B603" s="3">
        <v>77.102599999999995</v>
      </c>
      <c r="C603" s="24">
        <v>127860</v>
      </c>
      <c r="D603" s="24">
        <v>121061</v>
      </c>
      <c r="E603" s="2">
        <v>5.4</v>
      </c>
      <c r="F603" s="33">
        <v>-1.9814999999999999E-2</v>
      </c>
      <c r="G603" s="33">
        <v>-2.1505E-2</v>
      </c>
      <c r="H603" s="25">
        <v>7.2</v>
      </c>
      <c r="I603" s="25">
        <v>7.89</v>
      </c>
      <c r="J603" s="25">
        <v>5.29</v>
      </c>
      <c r="K603" s="25">
        <v>5.43</v>
      </c>
      <c r="L603" s="25">
        <v>4.91</v>
      </c>
      <c r="M603" s="33">
        <v>70.900000000000006</v>
      </c>
      <c r="N603">
        <v>7.4361999999999998E-2</v>
      </c>
      <c r="O603" s="31">
        <v>333</v>
      </c>
      <c r="P603" s="38">
        <v>91.352549999999994</v>
      </c>
      <c r="Q603" s="22">
        <v>-2.9112222952999998E-2</v>
      </c>
      <c r="R603" s="38">
        <v>-0.44304500000000002</v>
      </c>
      <c r="T603" s="2"/>
      <c r="U603" s="2"/>
      <c r="V603" s="24"/>
      <c r="W603" s="24"/>
      <c r="X603" s="24"/>
      <c r="Y603" s="24"/>
      <c r="Z603" s="24"/>
      <c r="AA603" s="24"/>
      <c r="AB603" s="24"/>
      <c r="AC603" s="25"/>
      <c r="AD603" s="25"/>
      <c r="AE603" s="25"/>
      <c r="AF603" s="25"/>
      <c r="AG603" s="25"/>
      <c r="AH603" s="16"/>
      <c r="AI603" s="25"/>
      <c r="AJ603" s="25"/>
      <c r="AL603" s="3"/>
      <c r="AM603" s="22"/>
      <c r="AN603" s="9"/>
      <c r="AO603" s="9"/>
      <c r="AP603" s="9"/>
      <c r="AQ603" s="9"/>
      <c r="AR603" s="2"/>
      <c r="AS603" s="31"/>
    </row>
    <row r="604" spans="1:45">
      <c r="A604" s="13">
        <v>35431</v>
      </c>
      <c r="B604" s="3">
        <v>77.19</v>
      </c>
      <c r="C604" s="24">
        <v>128298</v>
      </c>
      <c r="D604" s="24">
        <v>121293</v>
      </c>
      <c r="E604" s="2">
        <v>5.3</v>
      </c>
      <c r="F604" s="33">
        <v>6.2779000000000001E-2</v>
      </c>
      <c r="G604" s="33">
        <v>6.1317000000000003E-2</v>
      </c>
      <c r="H604" s="25">
        <v>7.42</v>
      </c>
      <c r="I604" s="25">
        <v>8.09</v>
      </c>
      <c r="J604" s="25">
        <v>5.25</v>
      </c>
      <c r="K604" s="25">
        <v>5.44</v>
      </c>
      <c r="L604" s="25">
        <v>5.03</v>
      </c>
      <c r="M604" s="33">
        <v>73.400000000000006</v>
      </c>
      <c r="N604">
        <v>-0.17193</v>
      </c>
      <c r="O604" s="31">
        <v>339.39</v>
      </c>
      <c r="P604" s="38">
        <v>111.72929999999999</v>
      </c>
      <c r="Q604" s="24"/>
      <c r="R604" s="38">
        <v>-0.350109</v>
      </c>
      <c r="T604" s="2"/>
      <c r="U604" s="2"/>
      <c r="V604" s="24"/>
      <c r="W604" s="24"/>
      <c r="X604" s="24"/>
      <c r="Y604" s="24"/>
      <c r="Z604" s="24"/>
      <c r="AA604" s="24"/>
      <c r="AB604" s="24"/>
      <c r="AC604" s="25"/>
      <c r="AD604" s="25"/>
      <c r="AE604" s="25"/>
      <c r="AF604" s="25"/>
      <c r="AG604" s="25"/>
      <c r="AH604" s="10"/>
      <c r="AI604" s="25"/>
      <c r="AJ604" s="25"/>
      <c r="AL604" s="3"/>
      <c r="AN604" s="9"/>
      <c r="AO604" s="9"/>
      <c r="AP604" s="9"/>
      <c r="AQ604" s="9"/>
      <c r="AR604" s="2"/>
      <c r="AS604" s="31"/>
    </row>
    <row r="605" spans="1:45">
      <c r="A605" s="13">
        <v>35462</v>
      </c>
      <c r="B605" s="3">
        <v>78.125699999999995</v>
      </c>
      <c r="C605" s="24">
        <v>128298</v>
      </c>
      <c r="D605" s="24">
        <v>121595</v>
      </c>
      <c r="E605" s="2">
        <v>5.2</v>
      </c>
      <c r="F605" s="33">
        <v>7.7520000000000002E-3</v>
      </c>
      <c r="G605" s="33">
        <v>5.9280000000000001E-3</v>
      </c>
      <c r="H605" s="25">
        <v>7.31</v>
      </c>
      <c r="I605" s="25">
        <v>7.94</v>
      </c>
      <c r="J605" s="25">
        <v>5.19</v>
      </c>
      <c r="K605" s="25">
        <v>5.36</v>
      </c>
      <c r="L605" s="25">
        <v>5.01</v>
      </c>
      <c r="M605" s="33">
        <v>64.5</v>
      </c>
      <c r="N605">
        <v>-0.23041</v>
      </c>
      <c r="O605" s="31">
        <v>344.54</v>
      </c>
      <c r="P605" s="38">
        <v>131.4605</v>
      </c>
      <c r="Q605" s="24"/>
      <c r="R605" s="38">
        <v>-0.48608499999999999</v>
      </c>
      <c r="T605" s="2"/>
      <c r="U605" s="2"/>
      <c r="V605" s="24"/>
      <c r="W605" s="24"/>
      <c r="X605" s="24"/>
      <c r="Y605" s="24"/>
      <c r="Z605" s="24"/>
      <c r="AA605" s="24"/>
      <c r="AB605" s="24"/>
      <c r="AC605" s="25"/>
      <c r="AD605" s="25"/>
      <c r="AE605" s="25"/>
      <c r="AF605" s="25"/>
      <c r="AG605" s="25"/>
      <c r="AH605" s="10"/>
      <c r="AI605" s="25"/>
      <c r="AJ605" s="25"/>
      <c r="AL605" s="3"/>
      <c r="AN605" s="9"/>
      <c r="AO605" s="9"/>
      <c r="AP605" s="9"/>
      <c r="AQ605" s="9"/>
      <c r="AR605" s="2"/>
      <c r="AS605" s="31"/>
    </row>
    <row r="606" spans="1:45">
      <c r="A606" s="13">
        <v>35490</v>
      </c>
      <c r="B606" s="3">
        <v>78.725999999999999</v>
      </c>
      <c r="C606" s="24">
        <v>128891</v>
      </c>
      <c r="D606" s="24">
        <v>121910</v>
      </c>
      <c r="E606" s="2">
        <v>5.2</v>
      </c>
      <c r="F606" s="33">
        <v>-4.1653000000000003E-2</v>
      </c>
      <c r="G606" s="33">
        <v>-4.2613999999999999E-2</v>
      </c>
      <c r="H606" s="25">
        <v>7.55</v>
      </c>
      <c r="I606" s="25">
        <v>8.18</v>
      </c>
      <c r="J606" s="25">
        <v>5.39</v>
      </c>
      <c r="K606" s="25">
        <v>5.5</v>
      </c>
      <c r="L606" s="25">
        <v>5.14</v>
      </c>
      <c r="M606" s="33">
        <v>56.3</v>
      </c>
      <c r="N606">
        <v>0.83113999999999999</v>
      </c>
      <c r="O606" s="31">
        <v>340.99</v>
      </c>
      <c r="P606" s="38">
        <v>91.963819999999998</v>
      </c>
      <c r="Q606" s="24"/>
      <c r="R606" s="38">
        <v>-0.51297400000000004</v>
      </c>
      <c r="T606" s="2"/>
      <c r="U606" s="2"/>
      <c r="V606" s="24"/>
      <c r="W606" s="24"/>
      <c r="X606" s="24"/>
      <c r="Y606" s="24"/>
      <c r="Z606" s="24"/>
      <c r="AA606" s="24"/>
      <c r="AB606" s="24"/>
      <c r="AC606" s="25"/>
      <c r="AD606" s="25"/>
      <c r="AE606" s="25"/>
      <c r="AF606" s="25"/>
      <c r="AG606" s="25"/>
      <c r="AH606" s="10"/>
      <c r="AI606" s="25"/>
      <c r="AJ606" s="25"/>
      <c r="AL606" s="3"/>
      <c r="AN606" s="9"/>
      <c r="AO606" s="9"/>
      <c r="AP606" s="9"/>
      <c r="AQ606" s="9"/>
      <c r="AR606" s="2"/>
      <c r="AS606" s="31"/>
    </row>
    <row r="607" spans="1:45">
      <c r="A607" s="13">
        <v>35521</v>
      </c>
      <c r="B607" s="3">
        <v>78.761300000000006</v>
      </c>
      <c r="C607" s="24">
        <v>129143</v>
      </c>
      <c r="D607" s="24">
        <v>122201</v>
      </c>
      <c r="E607" s="2">
        <v>5.0999999999999996</v>
      </c>
      <c r="F607" s="33">
        <v>6.0274000000000001E-2</v>
      </c>
      <c r="G607" s="33">
        <v>5.8406E-2</v>
      </c>
      <c r="H607" s="25">
        <v>7.73</v>
      </c>
      <c r="I607" s="25">
        <v>8.34</v>
      </c>
      <c r="J607" s="25">
        <v>5.51</v>
      </c>
      <c r="K607" s="25">
        <v>5.7</v>
      </c>
      <c r="L607" s="25">
        <v>5.16</v>
      </c>
      <c r="M607" s="33">
        <v>56.1</v>
      </c>
      <c r="N607">
        <v>9.2981999999999995E-2</v>
      </c>
      <c r="O607" s="31">
        <v>333.63</v>
      </c>
      <c r="P607" s="38">
        <v>91.409760000000006</v>
      </c>
      <c r="Q607" s="24"/>
      <c r="R607" s="38">
        <v>-0.43880599999999997</v>
      </c>
      <c r="T607" s="2"/>
      <c r="U607" s="2"/>
      <c r="V607" s="24"/>
      <c r="W607" s="24"/>
      <c r="X607" s="24"/>
      <c r="Y607" s="24"/>
      <c r="Z607" s="24"/>
      <c r="AA607" s="24"/>
      <c r="AB607" s="24"/>
      <c r="AC607" s="25"/>
      <c r="AD607" s="25"/>
      <c r="AE607" s="25"/>
      <c r="AF607" s="25"/>
      <c r="AG607" s="25"/>
      <c r="AH607" s="10"/>
      <c r="AI607" s="25"/>
      <c r="AJ607" s="25"/>
      <c r="AL607" s="3"/>
      <c r="AN607" s="9"/>
      <c r="AO607" s="9"/>
      <c r="AP607" s="9"/>
      <c r="AQ607" s="9"/>
      <c r="AR607" s="2"/>
      <c r="AS607" s="31"/>
    </row>
    <row r="608" spans="1:45">
      <c r="A608" s="13">
        <v>35551</v>
      </c>
      <c r="B608" s="3">
        <v>79.3048</v>
      </c>
      <c r="C608" s="24">
        <v>129464</v>
      </c>
      <c r="D608" s="24">
        <v>122461</v>
      </c>
      <c r="E608" s="2">
        <v>4.9000000000000004</v>
      </c>
      <c r="F608" s="33">
        <v>6.1400999999999997E-2</v>
      </c>
      <c r="G608" s="33">
        <v>5.8576999999999997E-2</v>
      </c>
      <c r="H608" s="25">
        <v>7.58</v>
      </c>
      <c r="I608" s="25">
        <v>8.1999999999999993</v>
      </c>
      <c r="J608" s="25">
        <v>5.5</v>
      </c>
      <c r="K608" s="25">
        <v>5.69</v>
      </c>
      <c r="L608" s="25">
        <v>5.05</v>
      </c>
      <c r="M608" s="33">
        <v>60.2</v>
      </c>
      <c r="N608">
        <v>-0.92184999999999995</v>
      </c>
      <c r="O608" s="31">
        <v>336.84</v>
      </c>
      <c r="P608" s="38">
        <v>113.7145</v>
      </c>
      <c r="Q608" s="24"/>
      <c r="R608" s="38">
        <v>-0.43699399999999999</v>
      </c>
      <c r="T608" s="2"/>
      <c r="U608" s="2"/>
      <c r="V608" s="24"/>
      <c r="W608" s="24"/>
      <c r="X608" s="24"/>
      <c r="Y608" s="24"/>
      <c r="Z608" s="24"/>
      <c r="AA608" s="24"/>
      <c r="AB608" s="24"/>
      <c r="AC608" s="25"/>
      <c r="AD608" s="25"/>
      <c r="AE608" s="25"/>
      <c r="AF608" s="25"/>
      <c r="AG608" s="25"/>
      <c r="AH608" s="10"/>
      <c r="AI608" s="25"/>
      <c r="AJ608" s="25"/>
      <c r="AL608" s="3"/>
      <c r="AN608" s="9"/>
      <c r="AO608" s="9"/>
      <c r="AP608" s="9"/>
      <c r="AQ608" s="9"/>
      <c r="AR608" s="2"/>
      <c r="AS608" s="31"/>
    </row>
    <row r="609" spans="1:45">
      <c r="A609" s="13">
        <v>35582</v>
      </c>
      <c r="B609" s="3">
        <v>79.663600000000002</v>
      </c>
      <c r="C609" s="24">
        <v>129412</v>
      </c>
      <c r="D609" s="24">
        <v>122718</v>
      </c>
      <c r="E609" s="2">
        <v>5</v>
      </c>
      <c r="F609" s="33">
        <v>4.4103000000000003E-2</v>
      </c>
      <c r="G609" s="33">
        <v>4.3452999999999999E-2</v>
      </c>
      <c r="H609" s="25">
        <v>7.41</v>
      </c>
      <c r="I609" s="25">
        <v>8.02</v>
      </c>
      <c r="J609" s="25">
        <v>5.56</v>
      </c>
      <c r="K609" s="25">
        <v>5.66</v>
      </c>
      <c r="L609" s="25">
        <v>4.93</v>
      </c>
      <c r="M609" s="33">
        <v>51.8</v>
      </c>
      <c r="N609">
        <v>-0.44741999999999998</v>
      </c>
      <c r="O609" s="31">
        <v>337.3</v>
      </c>
      <c r="P609" s="38">
        <v>101.0087</v>
      </c>
      <c r="Q609" s="24"/>
      <c r="R609" s="38">
        <v>-0.50774900000000001</v>
      </c>
      <c r="T609" s="2"/>
      <c r="U609" s="2"/>
      <c r="V609" s="24"/>
      <c r="W609" s="24"/>
      <c r="X609" s="24"/>
      <c r="Y609" s="24"/>
      <c r="Z609" s="24"/>
      <c r="AA609" s="24"/>
      <c r="AB609" s="24"/>
      <c r="AC609" s="25"/>
      <c r="AD609" s="25"/>
      <c r="AE609" s="25"/>
      <c r="AF609" s="25"/>
      <c r="AG609" s="25"/>
      <c r="AH609" s="10"/>
      <c r="AI609" s="25"/>
      <c r="AJ609" s="25"/>
      <c r="AL609" s="3"/>
      <c r="AN609" s="9"/>
      <c r="AO609" s="9"/>
      <c r="AP609" s="9"/>
      <c r="AQ609" s="9"/>
      <c r="AR609" s="2"/>
      <c r="AS609" s="31"/>
    </row>
    <row r="610" spans="1:45">
      <c r="A610" s="13">
        <v>35612</v>
      </c>
      <c r="B610" s="3">
        <v>80.149600000000007</v>
      </c>
      <c r="C610" s="24">
        <v>129822</v>
      </c>
      <c r="D610" s="24">
        <v>123007</v>
      </c>
      <c r="E610" s="2">
        <v>4.9000000000000004</v>
      </c>
      <c r="F610" s="33">
        <v>8.0388000000000001E-2</v>
      </c>
      <c r="G610" s="33">
        <v>7.8122999999999998E-2</v>
      </c>
      <c r="H610" s="25">
        <v>7.14</v>
      </c>
      <c r="I610" s="25">
        <v>7.75</v>
      </c>
      <c r="J610" s="25">
        <v>5.52</v>
      </c>
      <c r="K610" s="25">
        <v>5.61</v>
      </c>
      <c r="L610" s="25">
        <v>5.05</v>
      </c>
      <c r="M610" s="33">
        <v>54.9</v>
      </c>
      <c r="N610">
        <v>-0.27695999999999998</v>
      </c>
      <c r="O610" s="31">
        <v>334.89</v>
      </c>
      <c r="P610" s="38">
        <v>107.18559999999999</v>
      </c>
      <c r="Q610" s="24"/>
      <c r="R610" s="38">
        <v>-0.52535600000000005</v>
      </c>
      <c r="T610" s="2"/>
      <c r="U610" s="2"/>
      <c r="V610" s="24"/>
      <c r="W610" s="24"/>
      <c r="X610" s="24"/>
      <c r="Y610" s="24"/>
      <c r="Z610" s="24"/>
      <c r="AA610" s="24"/>
      <c r="AB610" s="24"/>
      <c r="AC610" s="25"/>
      <c r="AD610" s="25"/>
      <c r="AE610" s="25"/>
      <c r="AF610" s="25"/>
      <c r="AG610" s="25"/>
      <c r="AH610" s="10"/>
      <c r="AI610" s="25"/>
      <c r="AJ610" s="25"/>
      <c r="AL610" s="3"/>
      <c r="AN610" s="9"/>
      <c r="AO610" s="9"/>
      <c r="AP610" s="9"/>
      <c r="AQ610" s="9"/>
      <c r="AR610" s="2"/>
      <c r="AS610" s="31"/>
    </row>
    <row r="611" spans="1:45">
      <c r="A611" s="13">
        <v>35643</v>
      </c>
      <c r="B611" s="3">
        <v>81.211699999999993</v>
      </c>
      <c r="C611" s="24">
        <v>130010</v>
      </c>
      <c r="D611" s="24">
        <v>122996</v>
      </c>
      <c r="E611" s="2">
        <v>4.8</v>
      </c>
      <c r="F611" s="33">
        <v>-5.4969999999999998E-2</v>
      </c>
      <c r="G611" s="33">
        <v>-5.7445999999999997E-2</v>
      </c>
      <c r="H611" s="25">
        <v>7.22</v>
      </c>
      <c r="I611" s="25">
        <v>7.82</v>
      </c>
      <c r="J611" s="25">
        <v>5.54</v>
      </c>
      <c r="K611" s="25">
        <v>5.58</v>
      </c>
      <c r="L611" s="25">
        <v>5.14</v>
      </c>
      <c r="M611" s="33">
        <v>54.9</v>
      </c>
      <c r="N611">
        <v>0.15792999999999999</v>
      </c>
      <c r="O611" s="31">
        <v>340.47</v>
      </c>
      <c r="P611" s="38">
        <v>96.851330000000004</v>
      </c>
      <c r="Q611" s="24"/>
      <c r="R611" s="38">
        <v>-0.50120200000000004</v>
      </c>
      <c r="T611" s="2"/>
      <c r="U611" s="2"/>
      <c r="V611" s="24"/>
      <c r="W611" s="24"/>
      <c r="X611" s="24"/>
      <c r="Y611" s="24"/>
      <c r="Z611" s="24"/>
      <c r="AA611" s="24"/>
      <c r="AB611" s="24"/>
      <c r="AC611" s="25"/>
      <c r="AD611" s="25"/>
      <c r="AE611" s="25"/>
      <c r="AF611" s="25"/>
      <c r="AG611" s="25"/>
      <c r="AH611" s="10"/>
      <c r="AI611" s="25"/>
      <c r="AJ611" s="25"/>
      <c r="AL611" s="3"/>
      <c r="AN611" s="9"/>
      <c r="AO611" s="9"/>
      <c r="AP611" s="9"/>
      <c r="AQ611" s="9"/>
      <c r="AR611" s="2"/>
      <c r="AS611" s="31"/>
    </row>
    <row r="612" spans="1:45">
      <c r="A612" s="13">
        <v>35674</v>
      </c>
      <c r="B612" s="3">
        <v>81.918999999999997</v>
      </c>
      <c r="C612" s="24">
        <v>130019</v>
      </c>
      <c r="D612" s="24">
        <v>123504</v>
      </c>
      <c r="E612" s="2">
        <v>4.9000000000000004</v>
      </c>
      <c r="F612" s="33">
        <v>5.3886000000000003E-2</v>
      </c>
      <c r="G612" s="33">
        <v>5.3154E-2</v>
      </c>
      <c r="H612" s="25">
        <v>7.15</v>
      </c>
      <c r="I612" s="25">
        <v>7.7</v>
      </c>
      <c r="J612" s="25">
        <v>5.54</v>
      </c>
      <c r="K612" s="25">
        <v>5.59</v>
      </c>
      <c r="L612" s="25">
        <v>4.95</v>
      </c>
      <c r="M612" s="33">
        <v>53.3</v>
      </c>
      <c r="N612">
        <v>0.39479999999999998</v>
      </c>
      <c r="O612" s="31">
        <v>337.29</v>
      </c>
      <c r="P612" s="38">
        <v>96.360429999999994</v>
      </c>
      <c r="Q612" s="24"/>
      <c r="R612" s="38">
        <v>-0.59903300000000004</v>
      </c>
      <c r="T612" s="2"/>
      <c r="U612" s="2"/>
      <c r="V612" s="24"/>
      <c r="W612" s="24"/>
      <c r="X612" s="24"/>
      <c r="Y612" s="24"/>
      <c r="Z612" s="24"/>
      <c r="AA612" s="24"/>
      <c r="AB612" s="24"/>
      <c r="AC612" s="25"/>
      <c r="AD612" s="25"/>
      <c r="AE612" s="25"/>
      <c r="AF612" s="25"/>
      <c r="AG612" s="25"/>
      <c r="AH612" s="10"/>
      <c r="AI612" s="25"/>
      <c r="AJ612" s="25"/>
      <c r="AL612" s="3"/>
      <c r="AN612" s="9"/>
      <c r="AO612" s="9"/>
      <c r="AP612" s="9"/>
      <c r="AQ612" s="9"/>
      <c r="AR612" s="2"/>
      <c r="AS612" s="31"/>
    </row>
    <row r="613" spans="1:45">
      <c r="A613" s="13">
        <v>35704</v>
      </c>
      <c r="B613" s="3">
        <v>82.479299999999995</v>
      </c>
      <c r="C613" s="24">
        <v>130179</v>
      </c>
      <c r="D613" s="24">
        <v>123844</v>
      </c>
      <c r="E613" s="2">
        <v>4.7</v>
      </c>
      <c r="F613" s="33">
        <v>-3.2605000000000002E-2</v>
      </c>
      <c r="G613" s="33">
        <v>-3.4478000000000002E-2</v>
      </c>
      <c r="H613" s="25">
        <v>7</v>
      </c>
      <c r="I613" s="25">
        <v>7.57</v>
      </c>
      <c r="J613" s="25">
        <v>5.5</v>
      </c>
      <c r="K613" s="25">
        <v>5.63</v>
      </c>
      <c r="L613" s="25">
        <v>4.97</v>
      </c>
      <c r="M613" s="33">
        <v>57.3</v>
      </c>
      <c r="N613">
        <v>1.2478E-2</v>
      </c>
      <c r="O613" s="31">
        <v>334.35</v>
      </c>
      <c r="P613" s="38">
        <v>125.05289999999999</v>
      </c>
      <c r="Q613" s="24"/>
      <c r="R613" s="38">
        <v>-0.47283900000000001</v>
      </c>
      <c r="T613" s="2"/>
      <c r="U613" s="2"/>
      <c r="V613" s="24"/>
      <c r="W613" s="24"/>
      <c r="X613" s="24"/>
      <c r="Y613" s="24"/>
      <c r="Z613" s="24"/>
      <c r="AA613" s="24"/>
      <c r="AB613" s="24"/>
      <c r="AC613" s="25"/>
      <c r="AD613" s="25"/>
      <c r="AE613" s="25"/>
      <c r="AF613" s="25"/>
      <c r="AG613" s="25"/>
      <c r="AH613" s="10"/>
      <c r="AI613" s="25"/>
      <c r="AJ613" s="25"/>
      <c r="AL613" s="3"/>
      <c r="AN613" s="9"/>
      <c r="AO613" s="9"/>
      <c r="AP613" s="9"/>
      <c r="AQ613" s="9"/>
      <c r="AR613" s="2"/>
      <c r="AS613" s="31"/>
    </row>
    <row r="614" spans="1:45">
      <c r="A614" s="13">
        <v>35735</v>
      </c>
      <c r="B614" s="3">
        <v>83.212299999999999</v>
      </c>
      <c r="C614" s="24">
        <v>130653</v>
      </c>
      <c r="D614" s="24">
        <v>124148</v>
      </c>
      <c r="E614" s="2">
        <v>4.5999999999999996</v>
      </c>
      <c r="F614" s="33">
        <v>4.6321000000000001E-2</v>
      </c>
      <c r="G614" s="33">
        <v>4.4587000000000002E-2</v>
      </c>
      <c r="H614" s="25">
        <v>6.87</v>
      </c>
      <c r="I614" s="25">
        <v>7.42</v>
      </c>
      <c r="J614" s="25">
        <v>5.52</v>
      </c>
      <c r="K614" s="25">
        <v>5.71</v>
      </c>
      <c r="L614" s="25">
        <v>5.14</v>
      </c>
      <c r="M614" s="33">
        <v>56.4</v>
      </c>
      <c r="N614">
        <v>0.25620999999999999</v>
      </c>
      <c r="O614" s="31">
        <v>327.64</v>
      </c>
      <c r="P614" s="38">
        <v>112.83369999999999</v>
      </c>
      <c r="Q614" s="24"/>
      <c r="R614" s="38">
        <v>-0.39601900000000001</v>
      </c>
      <c r="T614" s="2"/>
      <c r="U614" s="2"/>
      <c r="V614" s="24"/>
      <c r="W614" s="24"/>
      <c r="X614" s="24"/>
      <c r="Y614" s="24"/>
      <c r="Z614" s="24"/>
      <c r="AA614" s="24"/>
      <c r="AB614" s="24"/>
      <c r="AC614" s="25"/>
      <c r="AD614" s="25"/>
      <c r="AE614" s="25"/>
      <c r="AF614" s="25"/>
      <c r="AG614" s="25"/>
      <c r="AH614" s="10"/>
      <c r="AI614" s="25"/>
      <c r="AJ614" s="25"/>
      <c r="AL614" s="3"/>
      <c r="AN614" s="9"/>
      <c r="AO614" s="9"/>
      <c r="AP614" s="9"/>
      <c r="AQ614" s="9"/>
      <c r="AR614" s="2"/>
      <c r="AS614" s="31"/>
    </row>
    <row r="615" spans="1:45">
      <c r="A615" s="13">
        <v>35765</v>
      </c>
      <c r="B615" s="3">
        <v>83.507900000000006</v>
      </c>
      <c r="C615" s="24">
        <v>130679</v>
      </c>
      <c r="D615" s="24">
        <v>124452</v>
      </c>
      <c r="E615" s="2">
        <v>4.7</v>
      </c>
      <c r="F615" s="33">
        <v>1.7146999999999999E-2</v>
      </c>
      <c r="G615" s="33">
        <v>1.5731999999999999E-2</v>
      </c>
      <c r="H615" s="25">
        <v>6.76</v>
      </c>
      <c r="I615" s="25">
        <v>7.32</v>
      </c>
      <c r="J615" s="25">
        <v>5.5</v>
      </c>
      <c r="K615" s="25">
        <v>5.79</v>
      </c>
      <c r="L615" s="25">
        <v>5.16</v>
      </c>
      <c r="M615" s="33">
        <v>50.8</v>
      </c>
      <c r="N615">
        <v>-6.7933000000000004E-3</v>
      </c>
      <c r="O615" s="31">
        <v>310.56</v>
      </c>
      <c r="P615" s="38">
        <v>118.5997</v>
      </c>
      <c r="Q615" s="24"/>
      <c r="R615" s="38">
        <v>-0.451737</v>
      </c>
      <c r="T615" s="2"/>
      <c r="U615" s="2"/>
      <c r="V615" s="24"/>
      <c r="W615" s="24"/>
      <c r="X615" s="24"/>
      <c r="Y615" s="24"/>
      <c r="Z615" s="24"/>
      <c r="AA615" s="24"/>
      <c r="AB615" s="24"/>
      <c r="AC615" s="25"/>
      <c r="AD615" s="25"/>
      <c r="AE615" s="25"/>
      <c r="AF615" s="25"/>
      <c r="AG615" s="25"/>
      <c r="AH615" s="10"/>
      <c r="AI615" s="25"/>
      <c r="AJ615" s="25"/>
      <c r="AL615" s="3"/>
      <c r="AN615" s="9"/>
      <c r="AO615" s="9"/>
      <c r="AP615" s="9"/>
      <c r="AQ615" s="9"/>
      <c r="AR615" s="2"/>
      <c r="AS615" s="31"/>
    </row>
    <row r="616" spans="1:45">
      <c r="A616" s="13">
        <v>35796</v>
      </c>
      <c r="B616" s="3">
        <v>83.921000000000006</v>
      </c>
      <c r="C616" s="24">
        <v>130726</v>
      </c>
      <c r="D616" s="24">
        <v>124725</v>
      </c>
      <c r="E616" s="2">
        <v>4.5999999999999996</v>
      </c>
      <c r="F616" s="33">
        <v>1.1993999999999999E-2</v>
      </c>
      <c r="G616" s="33">
        <v>1.0149999999999999E-2</v>
      </c>
      <c r="H616" s="25">
        <v>6.61</v>
      </c>
      <c r="I616" s="25">
        <v>7.19</v>
      </c>
      <c r="J616" s="25">
        <v>5.56</v>
      </c>
      <c r="K616" s="25">
        <v>5.53</v>
      </c>
      <c r="L616" s="25">
        <v>5.04</v>
      </c>
      <c r="M616" s="33">
        <v>43.4</v>
      </c>
      <c r="N616">
        <v>1.1383000000000001</v>
      </c>
      <c r="O616" s="31">
        <v>299.61</v>
      </c>
      <c r="P616" s="38">
        <v>126.5958</v>
      </c>
      <c r="Q616" s="24"/>
      <c r="R616" s="38">
        <v>-0.372029</v>
      </c>
      <c r="T616" s="2"/>
      <c r="U616" s="2"/>
      <c r="V616" s="24"/>
      <c r="W616" s="24"/>
      <c r="X616" s="24"/>
      <c r="Y616" s="24"/>
      <c r="Z616" s="24"/>
      <c r="AA616" s="24"/>
      <c r="AB616" s="24"/>
      <c r="AC616" s="25"/>
      <c r="AD616" s="25"/>
      <c r="AE616" s="25"/>
      <c r="AF616" s="25"/>
      <c r="AG616" s="25"/>
      <c r="AH616" s="10"/>
      <c r="AI616" s="25"/>
      <c r="AJ616" s="25"/>
      <c r="AL616" s="3"/>
      <c r="AN616" s="9"/>
      <c r="AO616" s="9"/>
      <c r="AP616" s="9"/>
      <c r="AQ616" s="9"/>
      <c r="AR616" s="2"/>
      <c r="AS616" s="31"/>
    </row>
    <row r="617" spans="1:45">
      <c r="A617" s="13">
        <v>35827</v>
      </c>
      <c r="B617" s="3">
        <v>83.995599999999996</v>
      </c>
      <c r="C617" s="24">
        <v>130807</v>
      </c>
      <c r="D617" s="24">
        <v>124919</v>
      </c>
      <c r="E617" s="2">
        <v>4.5999999999999996</v>
      </c>
      <c r="F617" s="33">
        <v>7.1956000000000006E-2</v>
      </c>
      <c r="G617" s="33">
        <v>7.0448999999999998E-2</v>
      </c>
      <c r="H617" s="25">
        <v>6.67</v>
      </c>
      <c r="I617" s="25">
        <v>7.25</v>
      </c>
      <c r="J617" s="25">
        <v>5.51</v>
      </c>
      <c r="K617" s="25">
        <v>5.53</v>
      </c>
      <c r="L617" s="25">
        <v>5.09</v>
      </c>
      <c r="M617" s="33">
        <v>43.2</v>
      </c>
      <c r="N617">
        <v>0.2722</v>
      </c>
      <c r="O617" s="31">
        <v>296.85000000000002</v>
      </c>
      <c r="P617" s="38">
        <v>125.90300000000001</v>
      </c>
      <c r="Q617" s="24"/>
      <c r="R617" s="38">
        <v>-0.351775</v>
      </c>
      <c r="T617" s="2"/>
      <c r="U617" s="2"/>
      <c r="V617" s="24"/>
      <c r="W617" s="24"/>
      <c r="X617" s="24"/>
      <c r="Y617" s="24"/>
      <c r="Z617" s="24"/>
      <c r="AA617" s="24"/>
      <c r="AB617" s="24"/>
      <c r="AC617" s="25"/>
      <c r="AD617" s="25"/>
      <c r="AE617" s="25"/>
      <c r="AF617" s="25"/>
      <c r="AG617" s="25"/>
      <c r="AH617" s="10"/>
      <c r="AI617" s="25"/>
      <c r="AJ617" s="25"/>
      <c r="AL617" s="3"/>
      <c r="AN617" s="9"/>
      <c r="AO617" s="9"/>
      <c r="AP617" s="9"/>
      <c r="AQ617" s="9"/>
      <c r="AR617" s="2"/>
      <c r="AS617" s="31"/>
    </row>
    <row r="618" spans="1:45">
      <c r="A618" s="13">
        <v>35855</v>
      </c>
      <c r="B618" s="3">
        <v>84.050600000000003</v>
      </c>
      <c r="C618" s="24">
        <v>130814</v>
      </c>
      <c r="D618" s="24">
        <v>125065</v>
      </c>
      <c r="E618" s="2">
        <v>4.7</v>
      </c>
      <c r="F618" s="33">
        <v>5.1336E-2</v>
      </c>
      <c r="G618" s="33">
        <v>4.9945999999999997E-2</v>
      </c>
      <c r="H618" s="25">
        <v>6.72</v>
      </c>
      <c r="I618" s="25">
        <v>7.32</v>
      </c>
      <c r="J618" s="25">
        <v>5.49</v>
      </c>
      <c r="K618" s="25">
        <v>5.56</v>
      </c>
      <c r="L618" s="25">
        <v>5.03</v>
      </c>
      <c r="M618" s="33">
        <v>35.799999999999997</v>
      </c>
      <c r="N618">
        <v>0.63536000000000004</v>
      </c>
      <c r="O618" s="31">
        <v>302.93</v>
      </c>
      <c r="P618" s="38">
        <v>103.2559</v>
      </c>
      <c r="Q618" s="24"/>
      <c r="R618" s="38">
        <v>-0.40165699999999999</v>
      </c>
      <c r="T618" s="2"/>
      <c r="U618" s="2"/>
      <c r="V618" s="24"/>
      <c r="W618" s="24"/>
      <c r="X618" s="24"/>
      <c r="Y618" s="24"/>
      <c r="Z618" s="24"/>
      <c r="AA618" s="24"/>
      <c r="AB618" s="24"/>
      <c r="AC618" s="25"/>
      <c r="AD618" s="25"/>
      <c r="AE618" s="25"/>
      <c r="AF618" s="25"/>
      <c r="AG618" s="25"/>
      <c r="AH618" s="10"/>
      <c r="AI618" s="25"/>
      <c r="AJ618" s="25"/>
      <c r="AL618" s="3"/>
      <c r="AN618" s="9"/>
      <c r="AO618" s="9"/>
      <c r="AP618" s="9"/>
      <c r="AQ618" s="9"/>
      <c r="AR618" s="2"/>
      <c r="AS618" s="31"/>
    </row>
    <row r="619" spans="1:45">
      <c r="A619" s="13">
        <v>35886</v>
      </c>
      <c r="B619" s="3">
        <v>84.370800000000003</v>
      </c>
      <c r="C619" s="24">
        <v>131209</v>
      </c>
      <c r="D619" s="24">
        <v>125344</v>
      </c>
      <c r="E619" s="2">
        <v>4.3</v>
      </c>
      <c r="F619" s="33">
        <v>1.1275E-2</v>
      </c>
      <c r="G619" s="33">
        <v>9.0760000000000007E-3</v>
      </c>
      <c r="H619" s="25">
        <v>6.69</v>
      </c>
      <c r="I619" s="25">
        <v>7.33</v>
      </c>
      <c r="J619" s="25">
        <v>5.45</v>
      </c>
      <c r="K619" s="25">
        <v>5.56</v>
      </c>
      <c r="L619" s="25">
        <v>4.95</v>
      </c>
      <c r="M619" s="33">
        <v>38.1</v>
      </c>
      <c r="N619">
        <v>-0.19202</v>
      </c>
      <c r="O619" s="31">
        <v>301.25</v>
      </c>
      <c r="P619" s="38">
        <v>81.570530000000005</v>
      </c>
      <c r="Q619" s="24"/>
      <c r="R619" s="38">
        <v>-0.47642800000000002</v>
      </c>
      <c r="T619" s="2"/>
      <c r="U619" s="2"/>
      <c r="V619" s="24"/>
      <c r="W619" s="24"/>
      <c r="X619" s="24"/>
      <c r="Y619" s="24"/>
      <c r="Z619" s="24"/>
      <c r="AA619" s="24"/>
      <c r="AB619" s="24"/>
      <c r="AC619" s="25"/>
      <c r="AD619" s="25"/>
      <c r="AE619" s="25"/>
      <c r="AF619" s="25"/>
      <c r="AG619" s="25"/>
      <c r="AH619" s="10"/>
      <c r="AI619" s="25"/>
      <c r="AJ619" s="25"/>
      <c r="AL619" s="3"/>
      <c r="AN619" s="9"/>
      <c r="AO619" s="9"/>
      <c r="AP619" s="9"/>
      <c r="AQ619" s="9"/>
      <c r="AR619" s="2"/>
      <c r="AS619" s="31"/>
    </row>
    <row r="620" spans="1:45">
      <c r="A620" s="13">
        <v>35916</v>
      </c>
      <c r="B620" s="3">
        <v>84.936300000000003</v>
      </c>
      <c r="C620" s="24">
        <v>131325</v>
      </c>
      <c r="D620" s="24">
        <v>125744</v>
      </c>
      <c r="E620" s="2">
        <v>4.4000000000000004</v>
      </c>
      <c r="F620" s="33">
        <v>-1.7673999999999999E-2</v>
      </c>
      <c r="G620" s="33">
        <v>-1.8825999999999999E-2</v>
      </c>
      <c r="H620" s="25">
        <v>6.69</v>
      </c>
      <c r="I620" s="25">
        <v>7.3</v>
      </c>
      <c r="J620" s="25">
        <v>5.49</v>
      </c>
      <c r="K620" s="25">
        <v>5.57</v>
      </c>
      <c r="L620" s="25">
        <v>5</v>
      </c>
      <c r="M620" s="33">
        <v>38.299999999999997</v>
      </c>
      <c r="N620">
        <v>0.21889</v>
      </c>
      <c r="O620" s="31">
        <v>305.39999999999998</v>
      </c>
      <c r="P620" s="38">
        <v>112.54170000000001</v>
      </c>
      <c r="Q620" s="24"/>
      <c r="R620" s="38">
        <v>-0.43537700000000001</v>
      </c>
      <c r="T620" s="2"/>
      <c r="U620" s="2"/>
      <c r="V620" s="24"/>
      <c r="W620" s="24"/>
      <c r="X620" s="24"/>
      <c r="Y620" s="24"/>
      <c r="Z620" s="24"/>
      <c r="AA620" s="24"/>
      <c r="AB620" s="24"/>
      <c r="AC620" s="25"/>
      <c r="AD620" s="25"/>
      <c r="AE620" s="25"/>
      <c r="AF620" s="25"/>
      <c r="AG620" s="25"/>
      <c r="AH620" s="10"/>
      <c r="AI620" s="25"/>
      <c r="AJ620" s="25"/>
      <c r="AL620" s="3"/>
      <c r="AN620" s="9"/>
      <c r="AO620" s="9"/>
      <c r="AP620" s="9"/>
      <c r="AQ620" s="9"/>
      <c r="AR620" s="2"/>
      <c r="AS620" s="31"/>
    </row>
    <row r="621" spans="1:45">
      <c r="A621" s="13">
        <v>35947</v>
      </c>
      <c r="B621" s="3">
        <v>84.440700000000007</v>
      </c>
      <c r="C621" s="24">
        <v>131244</v>
      </c>
      <c r="D621" s="24">
        <v>125954</v>
      </c>
      <c r="E621" s="2">
        <v>4.5</v>
      </c>
      <c r="F621" s="33">
        <v>4.0969999999999999E-2</v>
      </c>
      <c r="G621" s="33">
        <v>3.9438000000000001E-2</v>
      </c>
      <c r="H621" s="25">
        <v>6.53</v>
      </c>
      <c r="I621" s="25">
        <v>7.13</v>
      </c>
      <c r="J621" s="25">
        <v>5.56</v>
      </c>
      <c r="K621" s="25">
        <v>5.57</v>
      </c>
      <c r="L621" s="25">
        <v>4.9800000000000004</v>
      </c>
      <c r="M621" s="33">
        <v>33.6</v>
      </c>
      <c r="N621">
        <v>-0.21664</v>
      </c>
      <c r="O621" s="31">
        <v>299.72000000000003</v>
      </c>
      <c r="P621" s="38">
        <v>111.9522</v>
      </c>
      <c r="Q621" s="24"/>
      <c r="R621" s="38">
        <v>-0.42121199999999998</v>
      </c>
      <c r="T621" s="2"/>
      <c r="U621" s="2"/>
      <c r="V621" s="24"/>
      <c r="W621" s="24"/>
      <c r="X621" s="24"/>
      <c r="Y621" s="24"/>
      <c r="Z621" s="24"/>
      <c r="AA621" s="24"/>
      <c r="AB621" s="24"/>
      <c r="AC621" s="25"/>
      <c r="AD621" s="25"/>
      <c r="AE621" s="25"/>
      <c r="AF621" s="25"/>
      <c r="AG621" s="25"/>
      <c r="AH621" s="10"/>
      <c r="AI621" s="25"/>
      <c r="AJ621" s="25"/>
      <c r="AL621" s="3"/>
      <c r="AN621" s="9"/>
      <c r="AO621" s="9"/>
      <c r="AP621" s="9"/>
      <c r="AQ621" s="9"/>
      <c r="AR621" s="2"/>
      <c r="AS621" s="31"/>
    </row>
    <row r="622" spans="1:45">
      <c r="A622" s="13">
        <v>35977</v>
      </c>
      <c r="B622" s="3">
        <v>84.081800000000001</v>
      </c>
      <c r="C622" s="24">
        <v>131329</v>
      </c>
      <c r="D622" s="24">
        <v>126074</v>
      </c>
      <c r="E622" s="2">
        <v>4.5</v>
      </c>
      <c r="F622" s="33">
        <v>-1.0109E-2</v>
      </c>
      <c r="G622" s="33">
        <v>-1.1615E-2</v>
      </c>
      <c r="H622" s="25">
        <v>6.55</v>
      </c>
      <c r="I622" s="25">
        <v>7.15</v>
      </c>
      <c r="J622" s="25">
        <v>5.54</v>
      </c>
      <c r="K622" s="25">
        <v>5.57</v>
      </c>
      <c r="L622" s="25">
        <v>4.96</v>
      </c>
      <c r="M622" s="33">
        <v>35.9</v>
      </c>
      <c r="N622">
        <v>0.11951000000000001</v>
      </c>
      <c r="O622" s="31">
        <v>295.56</v>
      </c>
      <c r="P622" s="38">
        <v>123.09950000000001</v>
      </c>
      <c r="Q622" s="24"/>
      <c r="R622" s="38">
        <v>-0.38476199999999999</v>
      </c>
      <c r="T622" s="2"/>
      <c r="U622" s="2"/>
      <c r="V622" s="24"/>
      <c r="W622" s="24"/>
      <c r="X622" s="24"/>
      <c r="Y622" s="24"/>
      <c r="Z622" s="24"/>
      <c r="AA622" s="24"/>
      <c r="AB622" s="24"/>
      <c r="AC622" s="25"/>
      <c r="AD622" s="25"/>
      <c r="AE622" s="25"/>
      <c r="AF622" s="25"/>
      <c r="AG622" s="25"/>
      <c r="AH622" s="10"/>
      <c r="AI622" s="25"/>
      <c r="AJ622" s="25"/>
      <c r="AL622" s="3"/>
      <c r="AN622" s="9"/>
      <c r="AO622" s="9"/>
      <c r="AP622" s="9"/>
      <c r="AQ622" s="9"/>
      <c r="AR622" s="2"/>
      <c r="AS622" s="31"/>
    </row>
    <row r="623" spans="1:45">
      <c r="A623" s="13">
        <v>36008</v>
      </c>
      <c r="B623" s="3">
        <v>85.865499999999997</v>
      </c>
      <c r="C623" s="24">
        <v>131390</v>
      </c>
      <c r="D623" s="24">
        <v>126425</v>
      </c>
      <c r="E623" s="2">
        <v>4.5</v>
      </c>
      <c r="F623" s="33">
        <v>-0.143124</v>
      </c>
      <c r="G623" s="33">
        <v>-0.14579700000000001</v>
      </c>
      <c r="H623" s="25">
        <v>6.52</v>
      </c>
      <c r="I623" s="25">
        <v>7.14</v>
      </c>
      <c r="J623" s="25">
        <v>5.55</v>
      </c>
      <c r="K623" s="25">
        <v>5.56</v>
      </c>
      <c r="L623" s="25">
        <v>4.9000000000000004</v>
      </c>
      <c r="M623" s="33">
        <v>30.4</v>
      </c>
      <c r="N623">
        <v>0.68442000000000003</v>
      </c>
      <c r="O623" s="31">
        <v>290.17</v>
      </c>
      <c r="P623" s="38">
        <v>144.7431</v>
      </c>
      <c r="Q623" s="24"/>
      <c r="R623" s="38">
        <v>-3.7959E-2</v>
      </c>
      <c r="T623" s="2"/>
      <c r="U623" s="2"/>
      <c r="V623" s="24"/>
      <c r="W623" s="24"/>
      <c r="X623" s="24"/>
      <c r="Y623" s="24"/>
      <c r="Z623" s="24"/>
      <c r="AA623" s="24"/>
      <c r="AB623" s="24"/>
      <c r="AC623" s="25"/>
      <c r="AD623" s="25"/>
      <c r="AE623" s="25"/>
      <c r="AF623" s="25"/>
      <c r="AG623" s="25"/>
      <c r="AH623" s="10"/>
      <c r="AI623" s="25"/>
      <c r="AJ623" s="25"/>
      <c r="AL623" s="3"/>
      <c r="AN623" s="9"/>
      <c r="AO623" s="9"/>
      <c r="AP623" s="9"/>
      <c r="AQ623" s="9"/>
      <c r="AR623" s="2"/>
      <c r="AS623" s="31"/>
    </row>
    <row r="624" spans="1:45">
      <c r="A624" s="13">
        <v>36039</v>
      </c>
      <c r="B624" s="3">
        <v>85.589500000000001</v>
      </c>
      <c r="C624" s="24">
        <v>131986</v>
      </c>
      <c r="D624" s="24">
        <v>126644</v>
      </c>
      <c r="E624" s="2">
        <v>4.5999999999999996</v>
      </c>
      <c r="F624" s="33">
        <v>6.3175999999999996E-2</v>
      </c>
      <c r="G624" s="33">
        <v>6.2396E-2</v>
      </c>
      <c r="H624" s="25">
        <v>6.4</v>
      </c>
      <c r="I624" s="25">
        <v>7.09</v>
      </c>
      <c r="J624" s="25">
        <v>5.51</v>
      </c>
      <c r="K624" s="25">
        <v>5.39</v>
      </c>
      <c r="L624" s="25">
        <v>4.6100000000000003</v>
      </c>
      <c r="M624" s="33">
        <v>36</v>
      </c>
      <c r="N624">
        <v>-0.53525999999999996</v>
      </c>
      <c r="O624" s="31">
        <v>281.22000000000003</v>
      </c>
      <c r="P624" s="38">
        <v>186.86789999999999</v>
      </c>
      <c r="Q624" s="24"/>
      <c r="R624" s="38">
        <v>-9.9602999999999997E-2</v>
      </c>
      <c r="T624" s="2"/>
      <c r="U624" s="2"/>
      <c r="V624" s="24"/>
      <c r="W624" s="24"/>
      <c r="X624" s="24"/>
      <c r="Y624" s="24"/>
      <c r="Z624" s="24"/>
      <c r="AA624" s="24"/>
      <c r="AB624" s="24"/>
      <c r="AC624" s="25"/>
      <c r="AD624" s="25"/>
      <c r="AE624" s="25"/>
      <c r="AF624" s="25"/>
      <c r="AG624" s="25"/>
      <c r="AH624" s="10"/>
      <c r="AI624" s="25"/>
      <c r="AJ624" s="25"/>
      <c r="AL624" s="3"/>
      <c r="AN624" s="9"/>
      <c r="AO624" s="9"/>
      <c r="AP624" s="9"/>
      <c r="AQ624" s="9"/>
      <c r="AR624" s="2"/>
      <c r="AS624" s="31"/>
    </row>
    <row r="625" spans="1:45">
      <c r="A625" s="13">
        <v>36069</v>
      </c>
      <c r="B625" s="3">
        <v>86.269099999999995</v>
      </c>
      <c r="C625" s="24">
        <v>131999</v>
      </c>
      <c r="D625" s="24">
        <v>126838</v>
      </c>
      <c r="E625" s="2">
        <v>4.5</v>
      </c>
      <c r="F625" s="33">
        <v>8.0111000000000002E-2</v>
      </c>
      <c r="G625" s="33">
        <v>8.0294000000000004E-2</v>
      </c>
      <c r="H625" s="25">
        <v>6.37</v>
      </c>
      <c r="I625" s="25">
        <v>7.18</v>
      </c>
      <c r="J625" s="25">
        <v>5.07</v>
      </c>
      <c r="K625" s="25">
        <v>5.17</v>
      </c>
      <c r="L625" s="25">
        <v>3.96</v>
      </c>
      <c r="M625" s="33">
        <v>35.200000000000003</v>
      </c>
      <c r="N625">
        <v>-2.2168999999999999</v>
      </c>
      <c r="O625" s="31">
        <v>275.73</v>
      </c>
      <c r="P625" s="38">
        <v>141.68209999999999</v>
      </c>
      <c r="Q625" s="24"/>
      <c r="R625" s="38">
        <v>3.1679999999999998E-3</v>
      </c>
      <c r="T625" s="2"/>
      <c r="U625" s="2"/>
      <c r="V625" s="24"/>
      <c r="W625" s="24"/>
      <c r="X625" s="24"/>
      <c r="Y625" s="24"/>
      <c r="Z625" s="24"/>
      <c r="AA625" s="24"/>
      <c r="AB625" s="24"/>
      <c r="AC625" s="25"/>
      <c r="AD625" s="25"/>
      <c r="AE625" s="25"/>
      <c r="AF625" s="25"/>
      <c r="AG625" s="25"/>
      <c r="AH625" s="10"/>
      <c r="AI625" s="25"/>
      <c r="AJ625" s="25"/>
      <c r="AL625" s="3"/>
      <c r="AN625" s="9"/>
      <c r="AO625" s="9"/>
      <c r="AP625" s="9"/>
      <c r="AQ625" s="9"/>
      <c r="AR625" s="2"/>
      <c r="AS625" s="31"/>
    </row>
    <row r="626" spans="1:45">
      <c r="A626" s="13">
        <v>36100</v>
      </c>
      <c r="B626" s="3">
        <v>86.1935</v>
      </c>
      <c r="C626" s="24">
        <v>132280</v>
      </c>
      <c r="D626" s="24">
        <v>127119</v>
      </c>
      <c r="E626" s="2">
        <v>4.4000000000000004</v>
      </c>
      <c r="F626" s="33">
        <v>6.2164999999999998E-2</v>
      </c>
      <c r="G626" s="33">
        <v>5.9125999999999998E-2</v>
      </c>
      <c r="H626" s="25">
        <v>6.41</v>
      </c>
      <c r="I626" s="25">
        <v>7.34</v>
      </c>
      <c r="J626" s="25">
        <v>4.83</v>
      </c>
      <c r="K626" s="25">
        <v>5.21</v>
      </c>
      <c r="L626" s="25">
        <v>4.41</v>
      </c>
      <c r="M626" s="33">
        <v>32.700000000000003</v>
      </c>
      <c r="N626">
        <v>-0.90019000000000005</v>
      </c>
      <c r="O626" s="31">
        <v>268.85000000000002</v>
      </c>
      <c r="P626" s="38">
        <v>155.4709</v>
      </c>
      <c r="Q626" s="24"/>
      <c r="R626" s="38">
        <v>3.2171999999999999E-2</v>
      </c>
      <c r="T626" s="2"/>
      <c r="U626" s="2"/>
      <c r="V626" s="24"/>
      <c r="W626" s="24"/>
      <c r="X626" s="24"/>
      <c r="Y626" s="24"/>
      <c r="Z626" s="24"/>
      <c r="AA626" s="24"/>
      <c r="AB626" s="24"/>
      <c r="AC626" s="25"/>
      <c r="AD626" s="25"/>
      <c r="AE626" s="25"/>
      <c r="AF626" s="25"/>
      <c r="AG626" s="25"/>
      <c r="AH626" s="10"/>
      <c r="AI626" s="25"/>
      <c r="AJ626" s="25"/>
      <c r="AL626" s="3"/>
      <c r="AN626" s="9"/>
      <c r="AO626" s="9"/>
      <c r="AP626" s="9"/>
      <c r="AQ626" s="9"/>
      <c r="AR626" s="2"/>
      <c r="AS626" s="31"/>
    </row>
    <row r="627" spans="1:45">
      <c r="A627" s="13">
        <v>36130</v>
      </c>
      <c r="B627" s="3">
        <v>86.499200000000002</v>
      </c>
      <c r="C627" s="24">
        <v>132602</v>
      </c>
      <c r="D627" s="24">
        <v>127466</v>
      </c>
      <c r="E627" s="2">
        <v>4.4000000000000004</v>
      </c>
      <c r="F627" s="33">
        <v>5.9672999999999997E-2</v>
      </c>
      <c r="G627" s="33">
        <v>5.6375000000000001E-2</v>
      </c>
      <c r="H627" s="25">
        <v>6.22</v>
      </c>
      <c r="I627" s="25">
        <v>7.23</v>
      </c>
      <c r="J627" s="25">
        <v>4.68</v>
      </c>
      <c r="K627" s="25">
        <v>5.13</v>
      </c>
      <c r="L627" s="25">
        <v>4.3899999999999997</v>
      </c>
      <c r="M627" s="33">
        <v>26.1</v>
      </c>
      <c r="N627">
        <v>-6.1809999999999997E-2</v>
      </c>
      <c r="O627" s="31">
        <v>265.94</v>
      </c>
      <c r="P627" s="38">
        <v>129.97710000000001</v>
      </c>
      <c r="Q627" s="24"/>
      <c r="R627" s="38">
        <v>-0.10385999999999999</v>
      </c>
      <c r="T627" s="2"/>
      <c r="U627" s="2"/>
      <c r="V627" s="24"/>
      <c r="W627" s="24"/>
      <c r="X627" s="24"/>
      <c r="Y627" s="24"/>
      <c r="Z627" s="24"/>
      <c r="AA627" s="24"/>
      <c r="AB627" s="24"/>
      <c r="AC627" s="25"/>
      <c r="AD627" s="25"/>
      <c r="AE627" s="25"/>
      <c r="AF627" s="25"/>
      <c r="AG627" s="25"/>
      <c r="AH627" s="10"/>
      <c r="AI627" s="25"/>
      <c r="AJ627" s="25"/>
      <c r="AL627" s="3"/>
      <c r="AN627" s="9"/>
      <c r="AO627" s="9"/>
      <c r="AP627" s="9"/>
      <c r="AQ627" s="9"/>
      <c r="AR627" s="2"/>
      <c r="AS627" s="31"/>
    </row>
    <row r="628" spans="1:45">
      <c r="A628" s="13">
        <v>36161</v>
      </c>
      <c r="B628" s="3">
        <v>86.886499999999998</v>
      </c>
      <c r="C628" s="24">
        <v>133027</v>
      </c>
      <c r="D628" s="24">
        <v>127589</v>
      </c>
      <c r="E628" s="2">
        <v>4.3</v>
      </c>
      <c r="F628" s="33">
        <v>4.2799999999999998E-2</v>
      </c>
      <c r="G628" s="33">
        <v>4.1008999999999997E-2</v>
      </c>
      <c r="H628" s="25">
        <v>6.24</v>
      </c>
      <c r="I628" s="25">
        <v>7.29</v>
      </c>
      <c r="J628" s="25">
        <v>4.63</v>
      </c>
      <c r="K628" s="25">
        <v>4.88</v>
      </c>
      <c r="L628" s="25">
        <v>4.34</v>
      </c>
      <c r="M628" s="33">
        <v>30.2</v>
      </c>
      <c r="N628">
        <v>0.31585999999999997</v>
      </c>
      <c r="O628" s="31">
        <v>262.81</v>
      </c>
      <c r="P628" s="38">
        <v>165.0317</v>
      </c>
      <c r="Q628" s="24"/>
      <c r="R628" s="38">
        <v>-0.12198000000000001</v>
      </c>
      <c r="T628" s="2"/>
      <c r="U628" s="2"/>
      <c r="V628" s="24"/>
      <c r="W628" s="24"/>
      <c r="X628" s="24"/>
      <c r="Y628" s="24"/>
      <c r="Z628" s="24"/>
      <c r="AA628" s="24"/>
      <c r="AB628" s="24"/>
      <c r="AC628" s="25"/>
      <c r="AD628" s="25"/>
      <c r="AE628" s="25"/>
      <c r="AF628" s="25"/>
      <c r="AG628" s="25"/>
      <c r="AH628" s="10"/>
      <c r="AI628" s="25"/>
      <c r="AJ628" s="25"/>
      <c r="AL628" s="3"/>
      <c r="AN628" s="9"/>
      <c r="AO628" s="9"/>
      <c r="AP628" s="9"/>
      <c r="AQ628" s="9"/>
      <c r="AR628" s="2"/>
      <c r="AS628" s="31"/>
    </row>
    <row r="629" spans="1:45">
      <c r="A629" s="13">
        <v>36192</v>
      </c>
      <c r="B629" s="3">
        <v>87.263300000000001</v>
      </c>
      <c r="C629" s="24">
        <v>132856</v>
      </c>
      <c r="D629" s="24">
        <v>127998</v>
      </c>
      <c r="E629" s="2">
        <v>4.4000000000000004</v>
      </c>
      <c r="F629" s="33">
        <v>-3.1934999999999998E-2</v>
      </c>
      <c r="G629" s="33">
        <v>-3.2282999999999999E-2</v>
      </c>
      <c r="H629" s="25">
        <v>6.4</v>
      </c>
      <c r="I629" s="25">
        <v>7.39</v>
      </c>
      <c r="J629" s="25">
        <v>4.76</v>
      </c>
      <c r="K629" s="25">
        <v>4.8600000000000003</v>
      </c>
      <c r="L629" s="25">
        <v>4.4400000000000004</v>
      </c>
      <c r="M629" s="33">
        <v>26.2</v>
      </c>
      <c r="N629">
        <v>1.0123</v>
      </c>
      <c r="O629" s="31">
        <v>259.64999999999998</v>
      </c>
      <c r="P629" s="38">
        <v>111.7627</v>
      </c>
      <c r="Q629" s="24"/>
      <c r="R629" s="38">
        <v>-0.35175200000000001</v>
      </c>
      <c r="T629" s="2"/>
      <c r="U629" s="2"/>
      <c r="V629" s="24"/>
      <c r="W629" s="24"/>
      <c r="X629" s="24"/>
      <c r="Y629" s="24"/>
      <c r="Z629" s="24"/>
      <c r="AA629" s="24"/>
      <c r="AB629" s="24"/>
      <c r="AC629" s="25"/>
      <c r="AD629" s="25"/>
      <c r="AE629" s="25"/>
      <c r="AF629" s="25"/>
      <c r="AG629" s="25"/>
      <c r="AH629" s="10"/>
      <c r="AI629" s="25"/>
      <c r="AJ629" s="25"/>
      <c r="AL629" s="3"/>
      <c r="AN629" s="9"/>
      <c r="AO629" s="9"/>
      <c r="AP629" s="9"/>
      <c r="AQ629" s="9"/>
      <c r="AR629" s="2"/>
      <c r="AS629" s="31"/>
    </row>
    <row r="630" spans="1:45">
      <c r="A630" s="13">
        <v>36220</v>
      </c>
      <c r="B630" s="3">
        <v>87.450400000000002</v>
      </c>
      <c r="C630" s="24">
        <v>132947</v>
      </c>
      <c r="D630" s="24">
        <v>128106</v>
      </c>
      <c r="E630" s="2">
        <v>4.2</v>
      </c>
      <c r="F630" s="33">
        <v>3.8979E-2</v>
      </c>
      <c r="G630" s="33">
        <v>3.8794000000000002E-2</v>
      </c>
      <c r="H630" s="25">
        <v>6.62</v>
      </c>
      <c r="I630" s="25">
        <v>7.53</v>
      </c>
      <c r="J630" s="25">
        <v>4.8099999999999996</v>
      </c>
      <c r="K630" s="25">
        <v>4.88</v>
      </c>
      <c r="L630" s="25">
        <v>4.4400000000000004</v>
      </c>
      <c r="M630" s="33">
        <v>33.299999999999997</v>
      </c>
      <c r="N630">
        <v>0.97624999999999995</v>
      </c>
      <c r="O630" s="31">
        <v>255.12</v>
      </c>
      <c r="P630" s="38">
        <v>83.870679999999993</v>
      </c>
      <c r="Q630" s="24"/>
      <c r="R630" s="38">
        <v>-0.274009</v>
      </c>
      <c r="T630" s="2"/>
      <c r="U630" s="2"/>
      <c r="V630" s="24"/>
      <c r="W630" s="24"/>
      <c r="X630" s="24"/>
      <c r="Y630" s="24"/>
      <c r="Z630" s="24"/>
      <c r="AA630" s="24"/>
      <c r="AB630" s="24"/>
      <c r="AC630" s="25"/>
      <c r="AD630" s="25"/>
      <c r="AE630" s="25"/>
      <c r="AF630" s="25"/>
      <c r="AG630" s="25"/>
      <c r="AH630" s="10"/>
      <c r="AI630" s="25"/>
      <c r="AJ630" s="25"/>
      <c r="AL630" s="3"/>
      <c r="AN630" s="9"/>
      <c r="AO630" s="9"/>
      <c r="AP630" s="9"/>
      <c r="AQ630" s="9"/>
      <c r="AR630" s="2"/>
      <c r="AS630" s="31"/>
    </row>
    <row r="631" spans="1:45">
      <c r="A631" s="13">
        <v>36251</v>
      </c>
      <c r="B631" s="3">
        <v>87.652500000000003</v>
      </c>
      <c r="C631" s="24">
        <v>132955</v>
      </c>
      <c r="D631" s="24">
        <v>128479</v>
      </c>
      <c r="E631" s="2">
        <v>4.3</v>
      </c>
      <c r="F631" s="33">
        <v>3.7559000000000002E-2</v>
      </c>
      <c r="G631" s="33">
        <v>3.7943999999999999E-2</v>
      </c>
      <c r="H631" s="25">
        <v>6.64</v>
      </c>
      <c r="I631" s="25">
        <v>7.48</v>
      </c>
      <c r="J631" s="25">
        <v>4.74</v>
      </c>
      <c r="K631" s="25">
        <v>4.87</v>
      </c>
      <c r="L631" s="25">
        <v>4.29</v>
      </c>
      <c r="M631" s="33">
        <v>42.4</v>
      </c>
      <c r="N631">
        <v>-0.51520999999999995</v>
      </c>
      <c r="O631" s="31">
        <v>257.27</v>
      </c>
      <c r="P631" s="38">
        <v>95.045169999999999</v>
      </c>
      <c r="Q631" s="24"/>
      <c r="R631" s="38">
        <v>-0.27845799999999998</v>
      </c>
      <c r="T631" s="2"/>
      <c r="U631" s="2"/>
      <c r="V631" s="24"/>
      <c r="W631" s="24"/>
      <c r="X631" s="24"/>
      <c r="Y631" s="24"/>
      <c r="Z631" s="24"/>
      <c r="AA631" s="24"/>
      <c r="AB631" s="24"/>
      <c r="AC631" s="25"/>
      <c r="AD631" s="25"/>
      <c r="AE631" s="25"/>
      <c r="AF631" s="25"/>
      <c r="AG631" s="25"/>
      <c r="AH631" s="10"/>
      <c r="AI631" s="25"/>
      <c r="AJ631" s="25"/>
      <c r="AL631" s="3"/>
      <c r="AN631" s="9"/>
      <c r="AO631" s="9"/>
      <c r="AP631" s="9"/>
      <c r="AQ631" s="9"/>
      <c r="AR631" s="2"/>
      <c r="AS631" s="31"/>
    </row>
    <row r="632" spans="1:45">
      <c r="A632" s="13">
        <v>36281</v>
      </c>
      <c r="B632" s="3">
        <v>88.3035</v>
      </c>
      <c r="C632" s="24">
        <v>133311</v>
      </c>
      <c r="D632" s="24">
        <v>128692</v>
      </c>
      <c r="E632" s="2">
        <v>4.2</v>
      </c>
      <c r="F632" s="33">
        <v>-2.3161999999999999E-2</v>
      </c>
      <c r="G632" s="33">
        <v>-2.4969999999999999E-2</v>
      </c>
      <c r="H632" s="25">
        <v>6.93</v>
      </c>
      <c r="I632" s="25">
        <v>7.72</v>
      </c>
      <c r="J632" s="25">
        <v>4.74</v>
      </c>
      <c r="K632" s="25">
        <v>4.9000000000000004</v>
      </c>
      <c r="L632" s="25">
        <v>4.5</v>
      </c>
      <c r="M632" s="33">
        <v>47.2</v>
      </c>
      <c r="N632">
        <v>0.49872</v>
      </c>
      <c r="O632" s="31">
        <v>258.08999999999997</v>
      </c>
      <c r="P632" s="38">
        <v>86.516750000000002</v>
      </c>
      <c r="Q632" s="24"/>
      <c r="R632" s="38">
        <v>-0.28008100000000002</v>
      </c>
      <c r="T632" s="2"/>
      <c r="U632" s="2"/>
      <c r="V632" s="24"/>
      <c r="W632" s="24"/>
      <c r="X632" s="24"/>
      <c r="Y632" s="24"/>
      <c r="Z632" s="24"/>
      <c r="AA632" s="24"/>
      <c r="AB632" s="24"/>
      <c r="AC632" s="25"/>
      <c r="AD632" s="25"/>
      <c r="AE632" s="25"/>
      <c r="AF632" s="25"/>
      <c r="AG632" s="25"/>
      <c r="AH632" s="10"/>
      <c r="AI632" s="25"/>
      <c r="AJ632" s="25"/>
      <c r="AL632" s="3"/>
      <c r="AN632" s="9"/>
      <c r="AO632" s="9"/>
      <c r="AP632" s="9"/>
      <c r="AQ632" s="9"/>
      <c r="AR632" s="2"/>
      <c r="AS632" s="31"/>
    </row>
    <row r="633" spans="1:45">
      <c r="A633" s="13">
        <v>36312</v>
      </c>
      <c r="B633" s="3">
        <v>88.134500000000003</v>
      </c>
      <c r="C633" s="24">
        <v>133378</v>
      </c>
      <c r="D633" s="24">
        <v>128955</v>
      </c>
      <c r="E633" s="2">
        <v>4.3</v>
      </c>
      <c r="F633" s="33">
        <v>5.4431E-2</v>
      </c>
      <c r="G633" s="33">
        <v>5.4438E-2</v>
      </c>
      <c r="H633" s="25">
        <v>7.23</v>
      </c>
      <c r="I633" s="25">
        <v>8.02</v>
      </c>
      <c r="J633" s="25">
        <v>4.76</v>
      </c>
      <c r="K633" s="25">
        <v>5.09</v>
      </c>
      <c r="L633" s="25">
        <v>4.57</v>
      </c>
      <c r="M633" s="33">
        <v>48.8</v>
      </c>
      <c r="N633">
        <v>0.29626999999999998</v>
      </c>
      <c r="O633" s="31">
        <v>256.99</v>
      </c>
      <c r="P633" s="38">
        <v>95.547499999999999</v>
      </c>
      <c r="Q633" s="24"/>
      <c r="R633" s="38">
        <v>-0.21409400000000001</v>
      </c>
      <c r="T633" s="2"/>
      <c r="U633" s="2"/>
      <c r="V633" s="24"/>
      <c r="W633" s="24"/>
      <c r="X633" s="24"/>
      <c r="Y633" s="24"/>
      <c r="Z633" s="24"/>
      <c r="AA633" s="24"/>
      <c r="AB633" s="24"/>
      <c r="AC633" s="25"/>
      <c r="AD633" s="25"/>
      <c r="AE633" s="25"/>
      <c r="AF633" s="25"/>
      <c r="AG633" s="25"/>
      <c r="AH633" s="10"/>
      <c r="AI633" s="25"/>
      <c r="AJ633" s="25"/>
      <c r="AL633" s="3"/>
      <c r="AN633" s="9"/>
      <c r="AO633" s="9"/>
      <c r="AP633" s="9"/>
      <c r="AQ633" s="9"/>
      <c r="AR633" s="2"/>
      <c r="AS633" s="31"/>
    </row>
    <row r="634" spans="1:45">
      <c r="A634" s="13">
        <v>36342</v>
      </c>
      <c r="B634" s="3">
        <v>88.731999999999999</v>
      </c>
      <c r="C634" s="24">
        <v>133414</v>
      </c>
      <c r="D634" s="24">
        <v>129248</v>
      </c>
      <c r="E634" s="2">
        <v>4.3</v>
      </c>
      <c r="F634" s="33">
        <v>-3.022E-2</v>
      </c>
      <c r="G634" s="33">
        <v>-3.2045999999999998E-2</v>
      </c>
      <c r="H634" s="25">
        <v>7.19</v>
      </c>
      <c r="I634" s="25">
        <v>7.95</v>
      </c>
      <c r="J634" s="25">
        <v>4.99</v>
      </c>
      <c r="K634" s="25">
        <v>5.21</v>
      </c>
      <c r="L634" s="25">
        <v>4.55</v>
      </c>
      <c r="M634" s="33">
        <v>53.7</v>
      </c>
      <c r="N634">
        <v>1.5012000000000001</v>
      </c>
      <c r="O634" s="31">
        <v>261.52999999999997</v>
      </c>
      <c r="P634" s="38">
        <v>113.5697</v>
      </c>
      <c r="Q634" s="24"/>
      <c r="R634" s="38">
        <v>-0.14966599999999999</v>
      </c>
      <c r="T634" s="2"/>
      <c r="U634" s="2"/>
      <c r="V634" s="24"/>
      <c r="W634" s="24"/>
      <c r="X634" s="24"/>
      <c r="Y634" s="24"/>
      <c r="Z634" s="24"/>
      <c r="AA634" s="24"/>
      <c r="AB634" s="24"/>
      <c r="AC634" s="25"/>
      <c r="AD634" s="25"/>
      <c r="AE634" s="25"/>
      <c r="AF634" s="25"/>
      <c r="AG634" s="25"/>
      <c r="AH634" s="10"/>
      <c r="AI634" s="25"/>
      <c r="AJ634" s="25"/>
      <c r="AL634" s="3"/>
      <c r="AN634" s="9"/>
      <c r="AO634" s="9"/>
      <c r="AP634" s="9"/>
      <c r="AQ634" s="9"/>
      <c r="AR634" s="2"/>
      <c r="AS634" s="31"/>
    </row>
    <row r="635" spans="1:45">
      <c r="A635" s="13">
        <v>36373</v>
      </c>
      <c r="B635" s="3">
        <v>89.104200000000006</v>
      </c>
      <c r="C635" s="24">
        <v>133591</v>
      </c>
      <c r="D635" s="24">
        <v>129439</v>
      </c>
      <c r="E635" s="2">
        <v>4.2</v>
      </c>
      <c r="F635" s="33">
        <v>-4.9890000000000004E-3</v>
      </c>
      <c r="G635" s="33">
        <v>-6.254E-3</v>
      </c>
      <c r="H635" s="25">
        <v>7.4</v>
      </c>
      <c r="I635" s="25">
        <v>8.15</v>
      </c>
      <c r="J635" s="25">
        <v>5.07</v>
      </c>
      <c r="K635" s="25">
        <v>5.36</v>
      </c>
      <c r="L635" s="25">
        <v>4.72</v>
      </c>
      <c r="M635" s="33">
        <v>57.2</v>
      </c>
      <c r="N635">
        <v>0.21124000000000001</v>
      </c>
      <c r="O635" s="31">
        <v>264.13</v>
      </c>
      <c r="P635" s="38">
        <v>75.578609999999998</v>
      </c>
      <c r="Q635" s="24"/>
      <c r="R635" s="38">
        <v>-0.14810200000000001</v>
      </c>
      <c r="T635" s="2"/>
      <c r="U635" s="2"/>
      <c r="V635" s="24"/>
      <c r="W635" s="24"/>
      <c r="X635" s="24"/>
      <c r="Y635" s="24"/>
      <c r="Z635" s="24"/>
      <c r="AA635" s="24"/>
      <c r="AB635" s="24"/>
      <c r="AC635" s="25"/>
      <c r="AD635" s="25"/>
      <c r="AE635" s="25"/>
      <c r="AF635" s="25"/>
      <c r="AG635" s="25"/>
      <c r="AH635" s="10"/>
      <c r="AI635" s="25"/>
      <c r="AJ635" s="25"/>
      <c r="AL635" s="3"/>
      <c r="AN635" s="9"/>
      <c r="AO635" s="9"/>
      <c r="AP635" s="9"/>
      <c r="AQ635" s="9"/>
      <c r="AR635" s="2"/>
      <c r="AS635" s="31"/>
    </row>
    <row r="636" spans="1:45">
      <c r="A636" s="13">
        <v>36404</v>
      </c>
      <c r="B636" s="3">
        <v>88.855500000000006</v>
      </c>
      <c r="C636" s="24">
        <v>133707</v>
      </c>
      <c r="D636" s="24">
        <v>129642</v>
      </c>
      <c r="E636" s="2">
        <v>4.2</v>
      </c>
      <c r="F636" s="33">
        <v>-2.8079E-2</v>
      </c>
      <c r="G636" s="33">
        <v>-2.8552000000000001E-2</v>
      </c>
      <c r="H636" s="25">
        <v>7.39</v>
      </c>
      <c r="I636" s="25">
        <v>8.1999999999999993</v>
      </c>
      <c r="J636" s="25">
        <v>5.22</v>
      </c>
      <c r="K636" s="25">
        <v>5.48</v>
      </c>
      <c r="L636" s="25">
        <v>4.68</v>
      </c>
      <c r="M636" s="33">
        <v>65.5</v>
      </c>
      <c r="N636">
        <v>0.55396000000000001</v>
      </c>
      <c r="O636" s="31">
        <v>270.95</v>
      </c>
      <c r="P636" s="38">
        <v>99.907259999999994</v>
      </c>
      <c r="Q636" s="24"/>
      <c r="R636" s="38">
        <v>-4.5510000000000004E-3</v>
      </c>
      <c r="T636" s="2"/>
      <c r="U636" s="2"/>
      <c r="V636" s="24"/>
      <c r="W636" s="24"/>
      <c r="X636" s="24"/>
      <c r="Y636" s="24"/>
      <c r="Z636" s="24"/>
      <c r="AA636" s="24"/>
      <c r="AB636" s="24"/>
      <c r="AC636" s="25"/>
      <c r="AD636" s="25"/>
      <c r="AE636" s="25"/>
      <c r="AF636" s="25"/>
      <c r="AG636" s="25"/>
      <c r="AH636" s="10"/>
      <c r="AI636" s="25"/>
      <c r="AJ636" s="25"/>
      <c r="AL636" s="3"/>
      <c r="AN636" s="9"/>
      <c r="AO636" s="9"/>
      <c r="AP636" s="9"/>
      <c r="AQ636" s="9"/>
      <c r="AR636" s="2"/>
      <c r="AS636" s="31"/>
    </row>
    <row r="637" spans="1:45">
      <c r="A637" s="13">
        <v>36434</v>
      </c>
      <c r="B637" s="3">
        <v>89.992000000000004</v>
      </c>
      <c r="C637" s="24">
        <v>133993</v>
      </c>
      <c r="D637" s="24">
        <v>130045</v>
      </c>
      <c r="E637" s="2">
        <v>4.0999999999999996</v>
      </c>
      <c r="F637" s="33">
        <v>6.4238000000000003E-2</v>
      </c>
      <c r="G637" s="33">
        <v>6.2538999999999997E-2</v>
      </c>
      <c r="H637" s="25">
        <v>7.55</v>
      </c>
      <c r="I637" s="25">
        <v>8.3800000000000008</v>
      </c>
      <c r="J637" s="25">
        <v>5.2</v>
      </c>
      <c r="K637" s="25">
        <v>6.09</v>
      </c>
      <c r="L637" s="25">
        <v>4.8600000000000003</v>
      </c>
      <c r="M637" s="33">
        <v>60.9</v>
      </c>
      <c r="N637">
        <v>-1.319</v>
      </c>
      <c r="O637" s="31">
        <v>266.77999999999997</v>
      </c>
      <c r="P637" s="38">
        <v>104.76609999999999</v>
      </c>
      <c r="Q637" s="24"/>
      <c r="R637" s="38">
        <v>-4.0920999999999999E-2</v>
      </c>
      <c r="T637" s="2"/>
      <c r="U637" s="2"/>
      <c r="V637" s="24"/>
      <c r="W637" s="24"/>
      <c r="X637" s="24"/>
      <c r="Y637" s="24"/>
      <c r="Z637" s="24"/>
      <c r="AA637" s="24"/>
      <c r="AB637" s="24"/>
      <c r="AC637" s="25"/>
      <c r="AD637" s="25"/>
      <c r="AE637" s="25"/>
      <c r="AF637" s="25"/>
      <c r="AG637" s="25"/>
      <c r="AH637" s="10"/>
      <c r="AI637" s="25"/>
      <c r="AJ637" s="25"/>
      <c r="AL637" s="3"/>
      <c r="AN637" s="9"/>
      <c r="AO637" s="9"/>
      <c r="AP637" s="9"/>
      <c r="AQ637" s="9"/>
      <c r="AR637" s="2"/>
      <c r="AS637" s="31"/>
    </row>
    <row r="638" spans="1:45">
      <c r="A638" s="13">
        <v>36465</v>
      </c>
      <c r="B638" s="3">
        <v>90.441999999999993</v>
      </c>
      <c r="C638" s="24">
        <v>134309</v>
      </c>
      <c r="D638" s="24">
        <v>130336</v>
      </c>
      <c r="E638" s="2">
        <v>4.0999999999999996</v>
      </c>
      <c r="F638" s="33">
        <v>2.0822E-2</v>
      </c>
      <c r="G638" s="33">
        <v>1.9061999999999999E-2</v>
      </c>
      <c r="H638" s="25">
        <v>7.36</v>
      </c>
      <c r="I638" s="25">
        <v>8.15</v>
      </c>
      <c r="J638" s="25">
        <v>5.42</v>
      </c>
      <c r="K638" s="25">
        <v>5.97</v>
      </c>
      <c r="L638" s="25">
        <v>5.07</v>
      </c>
      <c r="M638" s="33">
        <v>66.7</v>
      </c>
      <c r="N638">
        <v>0.33184000000000002</v>
      </c>
      <c r="O638" s="31">
        <v>270.39</v>
      </c>
      <c r="P638" s="38">
        <v>93.406989999999993</v>
      </c>
      <c r="Q638" s="24"/>
      <c r="R638" s="38">
        <v>-7.8822000000000003E-2</v>
      </c>
      <c r="T638" s="2"/>
      <c r="U638" s="2"/>
      <c r="V638" s="24"/>
      <c r="W638" s="24"/>
      <c r="X638" s="24"/>
      <c r="Y638" s="24"/>
      <c r="Z638" s="24"/>
      <c r="AA638" s="24"/>
      <c r="AB638" s="24"/>
      <c r="AC638" s="25"/>
      <c r="AD638" s="25"/>
      <c r="AE638" s="25"/>
      <c r="AF638" s="25"/>
      <c r="AG638" s="25"/>
      <c r="AH638" s="10"/>
      <c r="AI638" s="25"/>
      <c r="AJ638" s="25"/>
      <c r="AL638" s="3"/>
      <c r="AN638" s="9"/>
      <c r="AO638" s="9"/>
      <c r="AP638" s="9"/>
      <c r="AQ638" s="9"/>
      <c r="AR638" s="2"/>
      <c r="AS638" s="31"/>
    </row>
    <row r="639" spans="1:45">
      <c r="A639" s="13">
        <v>36495</v>
      </c>
      <c r="B639" s="3">
        <v>91.162400000000005</v>
      </c>
      <c r="C639" s="24">
        <v>134523</v>
      </c>
      <c r="D639" s="24">
        <v>130636</v>
      </c>
      <c r="E639" s="2">
        <v>4</v>
      </c>
      <c r="F639" s="33">
        <v>6.2578999999999996E-2</v>
      </c>
      <c r="G639" s="33">
        <v>5.7844E-2</v>
      </c>
      <c r="H639" s="25">
        <v>7.55</v>
      </c>
      <c r="I639" s="25">
        <v>8.19</v>
      </c>
      <c r="J639" s="25">
        <v>5.3</v>
      </c>
      <c r="K639" s="25">
        <v>6.06</v>
      </c>
      <c r="L639" s="25">
        <v>5.2</v>
      </c>
      <c r="M639" s="33">
        <v>71</v>
      </c>
      <c r="N639">
        <v>-1.8512999999999999</v>
      </c>
      <c r="O639" s="31">
        <v>267.27999999999997</v>
      </c>
      <c r="P639" s="38">
        <v>95.871769999999998</v>
      </c>
      <c r="Q639" s="24"/>
      <c r="R639" s="38">
        <v>-0.31425500000000001</v>
      </c>
      <c r="T639" s="2"/>
      <c r="U639" s="2"/>
      <c r="V639" s="24"/>
      <c r="W639" s="24"/>
      <c r="X639" s="24"/>
      <c r="Y639" s="24"/>
      <c r="Z639" s="24"/>
      <c r="AA639" s="24"/>
      <c r="AB639" s="24"/>
      <c r="AC639" s="25"/>
      <c r="AD639" s="25"/>
      <c r="AE639" s="25"/>
      <c r="AF639" s="25"/>
      <c r="AG639" s="25"/>
      <c r="AH639" s="10"/>
      <c r="AI639" s="25"/>
      <c r="AJ639" s="25"/>
      <c r="AL639" s="3"/>
      <c r="AN639" s="9"/>
      <c r="AO639" s="9"/>
      <c r="AP639" s="9"/>
      <c r="AQ639" s="9"/>
      <c r="AR639" s="2"/>
      <c r="AS639" s="31"/>
    </row>
    <row r="640" spans="1:45">
      <c r="A640" s="13">
        <v>36526</v>
      </c>
      <c r="B640" s="3">
        <v>91.233199999999997</v>
      </c>
      <c r="C640" s="24">
        <v>136559</v>
      </c>
      <c r="D640" s="24">
        <v>130869</v>
      </c>
      <c r="E640" s="2">
        <v>4</v>
      </c>
      <c r="F640" s="33">
        <v>-4.9605999999999997E-2</v>
      </c>
      <c r="G640" s="33">
        <v>-5.0903999999999998E-2</v>
      </c>
      <c r="H640" s="25">
        <v>7.78</v>
      </c>
      <c r="I640" s="25">
        <v>8.33</v>
      </c>
      <c r="J640" s="25">
        <v>5.45</v>
      </c>
      <c r="K640" s="25">
        <v>5.94</v>
      </c>
      <c r="L640" s="25">
        <v>5.32</v>
      </c>
      <c r="M640" s="33">
        <v>72.2</v>
      </c>
      <c r="N640">
        <v>0.62987000000000004</v>
      </c>
      <c r="O640" s="31">
        <v>267.85000000000002</v>
      </c>
      <c r="P640" s="38">
        <v>105.605</v>
      </c>
      <c r="Q640" s="24"/>
      <c r="R640" s="38">
        <v>-0.121563</v>
      </c>
      <c r="T640" s="2"/>
      <c r="U640" s="2"/>
      <c r="V640" s="24"/>
      <c r="W640" s="24"/>
      <c r="X640" s="24"/>
      <c r="Y640" s="24"/>
      <c r="Z640" s="24"/>
      <c r="AA640" s="24"/>
      <c r="AB640" s="24"/>
      <c r="AC640" s="25"/>
      <c r="AD640" s="25"/>
      <c r="AE640" s="25"/>
      <c r="AF640" s="25"/>
      <c r="AG640" s="25"/>
      <c r="AH640" s="10"/>
      <c r="AI640" s="25"/>
      <c r="AJ640" s="25"/>
      <c r="AL640" s="3"/>
      <c r="AN640" s="9"/>
      <c r="AO640" s="9"/>
      <c r="AP640" s="9"/>
      <c r="AQ640" s="9"/>
      <c r="AR640" s="2"/>
      <c r="AS640" s="31"/>
    </row>
    <row r="641" spans="1:45">
      <c r="A641" s="13">
        <v>36557</v>
      </c>
      <c r="B641" s="3">
        <v>91.578299999999999</v>
      </c>
      <c r="C641" s="24">
        <v>136598</v>
      </c>
      <c r="D641" s="24">
        <v>130999</v>
      </c>
      <c r="E641" s="2">
        <v>4.0999999999999996</v>
      </c>
      <c r="F641" s="33">
        <v>-1.7469999999999999E-2</v>
      </c>
      <c r="G641" s="33">
        <v>-2.0108000000000001E-2</v>
      </c>
      <c r="H641" s="25">
        <v>7.68</v>
      </c>
      <c r="I641" s="25">
        <v>8.2899999999999991</v>
      </c>
      <c r="J641" s="25">
        <v>5.73</v>
      </c>
      <c r="K641" s="25">
        <v>6.02</v>
      </c>
      <c r="L641" s="25">
        <v>5.55</v>
      </c>
      <c r="M641" s="33">
        <v>83.5</v>
      </c>
      <c r="N641">
        <v>1.9288000000000001</v>
      </c>
      <c r="O641" s="31">
        <v>260.91000000000003</v>
      </c>
      <c r="P641" s="38">
        <v>86.326679999999996</v>
      </c>
      <c r="Q641" s="24"/>
      <c r="R641" s="38">
        <v>-0.10455299999999999</v>
      </c>
      <c r="T641" s="2"/>
      <c r="U641" s="2"/>
      <c r="V641" s="24"/>
      <c r="W641" s="24"/>
      <c r="X641" s="24"/>
      <c r="Y641" s="24"/>
      <c r="Z641" s="24"/>
      <c r="AA641" s="24"/>
      <c r="AB641" s="24"/>
      <c r="AC641" s="25"/>
      <c r="AD641" s="25"/>
      <c r="AE641" s="25"/>
      <c r="AF641" s="25"/>
      <c r="AG641" s="25"/>
      <c r="AH641" s="10"/>
      <c r="AI641" s="25"/>
      <c r="AJ641" s="25"/>
      <c r="AL641" s="3"/>
      <c r="AN641" s="9"/>
      <c r="AO641" s="9"/>
      <c r="AP641" s="9"/>
      <c r="AQ641" s="9"/>
      <c r="AR641" s="2"/>
      <c r="AS641" s="31"/>
    </row>
    <row r="642" spans="1:45">
      <c r="A642" s="13">
        <v>36586</v>
      </c>
      <c r="B642" s="3">
        <v>91.944199999999995</v>
      </c>
      <c r="C642" s="24">
        <v>136701</v>
      </c>
      <c r="D642" s="24">
        <v>131470</v>
      </c>
      <c r="E642" s="2">
        <v>4</v>
      </c>
      <c r="F642" s="33">
        <v>9.8491999999999996E-2</v>
      </c>
      <c r="G642" s="33">
        <v>9.672E-2</v>
      </c>
      <c r="H642" s="25">
        <v>7.68</v>
      </c>
      <c r="I642" s="25">
        <v>8.3699999999999992</v>
      </c>
      <c r="J642" s="25">
        <v>5.85</v>
      </c>
      <c r="K642" s="25">
        <v>6.13</v>
      </c>
      <c r="L642" s="25">
        <v>5.69</v>
      </c>
      <c r="M642" s="33">
        <v>86.9</v>
      </c>
      <c r="N642">
        <v>0.46217999999999998</v>
      </c>
      <c r="O642" s="31">
        <v>260.39</v>
      </c>
      <c r="P642" s="38">
        <v>79.28116</v>
      </c>
      <c r="Q642" s="24"/>
      <c r="R642" s="38">
        <v>0.153942</v>
      </c>
      <c r="T642" s="2"/>
      <c r="U642" s="2"/>
      <c r="V642" s="24"/>
      <c r="W642" s="24"/>
      <c r="X642" s="24"/>
      <c r="Y642" s="24"/>
      <c r="Z642" s="24"/>
      <c r="AA642" s="24"/>
      <c r="AB642" s="24"/>
      <c r="AC642" s="25"/>
      <c r="AD642" s="25"/>
      <c r="AE642" s="25"/>
      <c r="AF642" s="25"/>
      <c r="AG642" s="25"/>
      <c r="AH642" s="10"/>
      <c r="AI642" s="25"/>
      <c r="AJ642" s="25"/>
      <c r="AL642" s="3"/>
      <c r="AN642" s="9"/>
      <c r="AO642" s="9"/>
      <c r="AP642" s="9"/>
      <c r="AQ642" s="9"/>
      <c r="AR642" s="2"/>
      <c r="AS642" s="31"/>
    </row>
    <row r="643" spans="1:45">
      <c r="A643" s="13">
        <v>36617</v>
      </c>
      <c r="B643" s="3">
        <v>92.520200000000003</v>
      </c>
      <c r="C643" s="24">
        <v>137270</v>
      </c>
      <c r="D643" s="24">
        <v>131757</v>
      </c>
      <c r="E643" s="2">
        <v>3.8</v>
      </c>
      <c r="F643" s="33">
        <v>-3.1585000000000002E-2</v>
      </c>
      <c r="G643" s="33">
        <v>-3.0796E-2</v>
      </c>
      <c r="H643" s="25">
        <v>7.64</v>
      </c>
      <c r="I643" s="25">
        <v>8.4</v>
      </c>
      <c r="J643" s="25">
        <v>6.02</v>
      </c>
      <c r="K643" s="25">
        <v>6.25</v>
      </c>
      <c r="L643" s="25">
        <v>5.66</v>
      </c>
      <c r="M643" s="33">
        <v>69.599999999999994</v>
      </c>
      <c r="N643">
        <v>0.67542000000000002</v>
      </c>
      <c r="O643" s="31">
        <v>258.3</v>
      </c>
      <c r="P643" s="38">
        <v>82.190610000000007</v>
      </c>
      <c r="Q643" s="24"/>
      <c r="R643" s="38">
        <v>0.33008999999999999</v>
      </c>
      <c r="T643" s="2"/>
      <c r="U643" s="2"/>
      <c r="V643" s="24"/>
      <c r="W643" s="24"/>
      <c r="X643" s="24"/>
      <c r="Y643" s="24"/>
      <c r="Z643" s="24"/>
      <c r="AA643" s="24"/>
      <c r="AB643" s="24"/>
      <c r="AC643" s="25"/>
      <c r="AD643" s="25"/>
      <c r="AE643" s="25"/>
      <c r="AF643" s="25"/>
      <c r="AG643" s="25"/>
      <c r="AH643" s="10"/>
      <c r="AI643" s="25"/>
      <c r="AJ643" s="25"/>
      <c r="AL643" s="3"/>
      <c r="AN643" s="9"/>
      <c r="AO643" s="9"/>
      <c r="AP643" s="9"/>
      <c r="AQ643" s="9"/>
      <c r="AR643" s="2"/>
      <c r="AS643" s="31"/>
    </row>
    <row r="644" spans="1:45">
      <c r="A644" s="13">
        <v>36647</v>
      </c>
      <c r="B644" s="3">
        <v>92.659199999999998</v>
      </c>
      <c r="C644" s="24">
        <v>136630</v>
      </c>
      <c r="D644" s="24">
        <v>131982</v>
      </c>
      <c r="E644" s="2">
        <v>4</v>
      </c>
      <c r="F644" s="33">
        <v>-2.2412000000000001E-2</v>
      </c>
      <c r="G644" s="33">
        <v>-2.1915E-2</v>
      </c>
      <c r="H644" s="25">
        <v>7.99</v>
      </c>
      <c r="I644" s="25">
        <v>8.9</v>
      </c>
      <c r="J644" s="25">
        <v>6.27</v>
      </c>
      <c r="K644" s="25">
        <v>6.7</v>
      </c>
      <c r="L644" s="25">
        <v>5.79</v>
      </c>
      <c r="M644" s="33">
        <v>79.599999999999994</v>
      </c>
      <c r="N644">
        <v>1.9742999999999999</v>
      </c>
      <c r="O644" s="31">
        <v>265.42</v>
      </c>
      <c r="P644" s="38">
        <v>111.1563</v>
      </c>
      <c r="Q644" s="24"/>
      <c r="R644" s="38">
        <v>0.49967200000000001</v>
      </c>
      <c r="T644" s="2"/>
      <c r="U644" s="2"/>
      <c r="V644" s="24"/>
      <c r="W644" s="24"/>
      <c r="X644" s="24"/>
      <c r="Y644" s="24"/>
      <c r="Z644" s="24"/>
      <c r="AA644" s="24"/>
      <c r="AB644" s="24"/>
      <c r="AC644" s="25"/>
      <c r="AD644" s="25"/>
      <c r="AE644" s="25"/>
      <c r="AF644" s="25"/>
      <c r="AG644" s="25"/>
      <c r="AH644" s="10"/>
      <c r="AI644" s="25"/>
      <c r="AJ644" s="25"/>
      <c r="AL644" s="3"/>
      <c r="AN644" s="9"/>
      <c r="AO644" s="9"/>
      <c r="AP644" s="9"/>
      <c r="AQ644" s="9"/>
      <c r="AR644" s="2"/>
      <c r="AS644" s="31"/>
    </row>
    <row r="645" spans="1:45">
      <c r="A645" s="13">
        <v>36678</v>
      </c>
      <c r="B645" s="3">
        <v>92.712599999999995</v>
      </c>
      <c r="C645" s="24">
        <v>136940</v>
      </c>
      <c r="D645" s="24">
        <v>131936</v>
      </c>
      <c r="E645" s="2">
        <v>4</v>
      </c>
      <c r="F645" s="33">
        <v>2.6218999999999999E-2</v>
      </c>
      <c r="G645" s="33">
        <v>2.3934E-2</v>
      </c>
      <c r="H645" s="25">
        <v>7.67</v>
      </c>
      <c r="I645" s="25">
        <v>8.48</v>
      </c>
      <c r="J645" s="25">
        <v>6.53</v>
      </c>
      <c r="K645" s="25">
        <v>6.73</v>
      </c>
      <c r="L645" s="25">
        <v>5.69</v>
      </c>
      <c r="M645" s="33">
        <v>89.8</v>
      </c>
      <c r="N645">
        <v>0.94579000000000002</v>
      </c>
      <c r="O645" s="31">
        <v>261.94</v>
      </c>
      <c r="P645" s="38">
        <v>121.8665</v>
      </c>
      <c r="Q645" s="24"/>
      <c r="R645" s="38">
        <v>0.55267999999999995</v>
      </c>
      <c r="T645" s="2"/>
      <c r="U645" s="2"/>
      <c r="V645" s="24"/>
      <c r="W645" s="24"/>
      <c r="X645" s="24"/>
      <c r="Y645" s="24"/>
      <c r="Z645" s="24"/>
      <c r="AA645" s="24"/>
      <c r="AB645" s="24"/>
      <c r="AC645" s="25"/>
      <c r="AD645" s="25"/>
      <c r="AE645" s="25"/>
      <c r="AF645" s="25"/>
      <c r="AG645" s="25"/>
      <c r="AH645" s="10"/>
      <c r="AI645" s="25"/>
      <c r="AJ645" s="25"/>
      <c r="AL645" s="3"/>
      <c r="AN645" s="9"/>
      <c r="AO645" s="9"/>
      <c r="AP645" s="9"/>
      <c r="AQ645" s="9"/>
      <c r="AR645" s="2"/>
      <c r="AS645" s="31"/>
    </row>
    <row r="646" spans="1:45">
      <c r="A646" s="13">
        <v>36708</v>
      </c>
      <c r="B646" s="3">
        <v>92.498400000000004</v>
      </c>
      <c r="C646" s="24">
        <v>136531</v>
      </c>
      <c r="D646" s="24">
        <v>132102</v>
      </c>
      <c r="E646" s="2">
        <v>4</v>
      </c>
      <c r="F646" s="33">
        <v>-1.1998E-2</v>
      </c>
      <c r="G646" s="33">
        <v>-1.6341000000000001E-2</v>
      </c>
      <c r="H646" s="25">
        <v>7.65</v>
      </c>
      <c r="I646" s="25">
        <v>8.35</v>
      </c>
      <c r="J646" s="25">
        <v>6.54</v>
      </c>
      <c r="K646" s="25">
        <v>6.67</v>
      </c>
      <c r="L646" s="25">
        <v>5.96</v>
      </c>
      <c r="M646" s="33">
        <v>83.3</v>
      </c>
      <c r="N646">
        <v>0.37413999999999997</v>
      </c>
      <c r="O646" s="31">
        <v>255.33</v>
      </c>
      <c r="P646" s="38">
        <v>108.7109</v>
      </c>
      <c r="Q646" s="24"/>
      <c r="R646" s="38">
        <v>0.61219400000000002</v>
      </c>
      <c r="T646" s="2"/>
      <c r="U646" s="2"/>
      <c r="V646" s="24"/>
      <c r="W646" s="24"/>
      <c r="X646" s="24"/>
      <c r="Y646" s="24"/>
      <c r="Z646" s="24"/>
      <c r="AA646" s="24"/>
      <c r="AB646" s="24"/>
      <c r="AC646" s="25"/>
      <c r="AD646" s="25"/>
      <c r="AE646" s="25"/>
      <c r="AF646" s="25"/>
      <c r="AG646" s="25"/>
      <c r="AH646" s="10"/>
      <c r="AI646" s="25"/>
      <c r="AJ646" s="25"/>
      <c r="AL646" s="3"/>
      <c r="AN646" s="9"/>
      <c r="AO646" s="9"/>
      <c r="AP646" s="9"/>
      <c r="AQ646" s="9"/>
      <c r="AR646" s="2"/>
      <c r="AS646" s="31"/>
    </row>
    <row r="647" spans="1:45">
      <c r="A647" s="13">
        <v>36739</v>
      </c>
      <c r="B647" s="3">
        <v>92.251900000000006</v>
      </c>
      <c r="C647" s="24">
        <v>136662</v>
      </c>
      <c r="D647" s="24">
        <v>132104</v>
      </c>
      <c r="E647" s="2">
        <v>4.0999999999999996</v>
      </c>
      <c r="F647" s="33">
        <v>6.3701999999999995E-2</v>
      </c>
      <c r="G647" s="33">
        <v>6.0699000000000003E-2</v>
      </c>
      <c r="H647" s="25">
        <v>7.55</v>
      </c>
      <c r="I647" s="25">
        <v>8.26</v>
      </c>
      <c r="J647" s="25">
        <v>6.5</v>
      </c>
      <c r="K647" s="25">
        <v>6.61</v>
      </c>
      <c r="L647" s="25">
        <v>6.09</v>
      </c>
      <c r="M647" s="33">
        <v>89.3</v>
      </c>
      <c r="N647">
        <v>0.46237</v>
      </c>
      <c r="O647" s="31">
        <v>255.69</v>
      </c>
      <c r="P647" s="38">
        <v>75.4024</v>
      </c>
      <c r="Q647" s="24"/>
      <c r="R647" s="38">
        <v>0.76959599999999995</v>
      </c>
      <c r="T647" s="2"/>
      <c r="U647" s="2"/>
      <c r="V647" s="24"/>
      <c r="W647" s="24"/>
      <c r="X647" s="24"/>
      <c r="Y647" s="24"/>
      <c r="Z647" s="24"/>
      <c r="AA647" s="24"/>
      <c r="AB647" s="24"/>
      <c r="AC647" s="25"/>
      <c r="AD647" s="25"/>
      <c r="AE647" s="25"/>
      <c r="AF647" s="25"/>
      <c r="AG647" s="25"/>
      <c r="AH647" s="10"/>
      <c r="AI647" s="25"/>
      <c r="AJ647" s="25"/>
      <c r="AL647" s="3"/>
      <c r="AN647" s="9"/>
      <c r="AO647" s="9"/>
      <c r="AP647" s="9"/>
      <c r="AQ647" s="9"/>
      <c r="AR647" s="2"/>
      <c r="AS647" s="31"/>
    </row>
    <row r="648" spans="1:45">
      <c r="A648" s="13">
        <v>36770</v>
      </c>
      <c r="B648" s="3">
        <v>92.700500000000005</v>
      </c>
      <c r="C648" s="24">
        <v>136893</v>
      </c>
      <c r="D648" s="24">
        <v>132231</v>
      </c>
      <c r="E648" s="2">
        <v>3.9</v>
      </c>
      <c r="F648" s="33">
        <v>-5.1943000000000003E-2</v>
      </c>
      <c r="G648" s="33">
        <v>-5.3483000000000003E-2</v>
      </c>
      <c r="H648" s="25">
        <v>7.62</v>
      </c>
      <c r="I648" s="25">
        <v>8.35</v>
      </c>
      <c r="J648" s="25">
        <v>6.52</v>
      </c>
      <c r="K648" s="25">
        <v>6.59</v>
      </c>
      <c r="L648" s="25">
        <v>6</v>
      </c>
      <c r="M648" s="33">
        <v>97.4</v>
      </c>
      <c r="N648">
        <v>0.90156000000000003</v>
      </c>
      <c r="O648" s="31">
        <v>258.75</v>
      </c>
      <c r="P648" s="38">
        <v>104.7107</v>
      </c>
      <c r="Q648" s="24"/>
      <c r="R648" s="38">
        <v>0.82241299999999995</v>
      </c>
      <c r="T648" s="2"/>
      <c r="U648" s="2"/>
      <c r="V648" s="24"/>
      <c r="W648" s="24"/>
      <c r="X648" s="24"/>
      <c r="Y648" s="24"/>
      <c r="Z648" s="24"/>
      <c r="AA648" s="24"/>
      <c r="AB648" s="24"/>
      <c r="AC648" s="25"/>
      <c r="AD648" s="25"/>
      <c r="AE648" s="25"/>
      <c r="AF648" s="25"/>
      <c r="AG648" s="25"/>
      <c r="AH648" s="10"/>
      <c r="AI648" s="25"/>
      <c r="AJ648" s="25"/>
      <c r="AL648" s="3"/>
      <c r="AN648" s="9"/>
      <c r="AO648" s="9"/>
      <c r="AP648" s="9"/>
      <c r="AQ648" s="9"/>
      <c r="AR648" s="2"/>
      <c r="AS648" s="31"/>
    </row>
    <row r="649" spans="1:45">
      <c r="A649" s="13">
        <v>36800</v>
      </c>
      <c r="B649" s="3">
        <v>92.283500000000004</v>
      </c>
      <c r="C649" s="24">
        <v>137088</v>
      </c>
      <c r="D649" s="24">
        <v>132219</v>
      </c>
      <c r="E649" s="2">
        <v>3.9</v>
      </c>
      <c r="F649" s="33">
        <v>-4.2170000000000003E-3</v>
      </c>
      <c r="G649" s="33">
        <v>-4.9490000000000003E-3</v>
      </c>
      <c r="H649" s="25">
        <v>7.55</v>
      </c>
      <c r="I649" s="25">
        <v>8.34</v>
      </c>
      <c r="J649" s="25">
        <v>6.51</v>
      </c>
      <c r="K649" s="25">
        <v>6.66</v>
      </c>
      <c r="L649" s="25">
        <v>6.11</v>
      </c>
      <c r="M649" s="33">
        <v>93.1</v>
      </c>
      <c r="N649">
        <v>0.94828000000000001</v>
      </c>
      <c r="O649" s="31">
        <v>257.29000000000002</v>
      </c>
      <c r="P649" s="38">
        <v>94.120850000000004</v>
      </c>
      <c r="Q649" s="24"/>
      <c r="R649" s="38">
        <v>1.2588429999999999</v>
      </c>
      <c r="T649" s="2"/>
      <c r="U649" s="2"/>
      <c r="V649" s="24"/>
      <c r="W649" s="24"/>
      <c r="X649" s="24"/>
      <c r="Y649" s="24"/>
      <c r="Z649" s="24"/>
      <c r="AA649" s="24"/>
      <c r="AB649" s="24"/>
      <c r="AC649" s="25"/>
      <c r="AD649" s="25"/>
      <c r="AE649" s="25"/>
      <c r="AF649" s="25"/>
      <c r="AG649" s="25"/>
      <c r="AH649" s="10"/>
      <c r="AI649" s="25"/>
      <c r="AJ649" s="25"/>
      <c r="AL649" s="3"/>
      <c r="AN649" s="9"/>
      <c r="AO649" s="9"/>
      <c r="AP649" s="9"/>
      <c r="AQ649" s="9"/>
      <c r="AR649" s="2"/>
      <c r="AS649" s="31"/>
    </row>
    <row r="650" spans="1:45">
      <c r="A650" s="13">
        <v>36831</v>
      </c>
      <c r="B650" s="3">
        <v>92.272099999999995</v>
      </c>
      <c r="C650" s="24">
        <v>137322</v>
      </c>
      <c r="D650" s="24">
        <v>132442</v>
      </c>
      <c r="E650" s="2">
        <v>3.9</v>
      </c>
      <c r="F650" s="33">
        <v>-7.8314999999999996E-2</v>
      </c>
      <c r="G650" s="33">
        <v>-8.0069000000000001E-2</v>
      </c>
      <c r="H650" s="25">
        <v>7.45</v>
      </c>
      <c r="I650" s="25">
        <v>8.2799999999999994</v>
      </c>
      <c r="J650" s="25">
        <v>6.51</v>
      </c>
      <c r="K650" s="25">
        <v>6.64</v>
      </c>
      <c r="L650" s="25">
        <v>6.17</v>
      </c>
      <c r="M650" s="33">
        <v>98.8</v>
      </c>
      <c r="N650">
        <v>0.31286000000000003</v>
      </c>
      <c r="O650" s="31">
        <v>252.51</v>
      </c>
      <c r="P650" s="38">
        <v>177.0085</v>
      </c>
      <c r="Q650" s="24"/>
      <c r="R650" s="38">
        <v>1.296519</v>
      </c>
      <c r="T650" s="2"/>
      <c r="U650" s="2"/>
      <c r="V650" s="24"/>
      <c r="W650" s="24"/>
      <c r="X650" s="24"/>
      <c r="Y650" s="24"/>
      <c r="Z650" s="24"/>
      <c r="AA650" s="24"/>
      <c r="AB650" s="24"/>
      <c r="AC650" s="25"/>
      <c r="AD650" s="25"/>
      <c r="AE650" s="25"/>
      <c r="AF650" s="25"/>
      <c r="AG650" s="25"/>
      <c r="AH650" s="10"/>
      <c r="AI650" s="25"/>
      <c r="AJ650" s="25"/>
      <c r="AL650" s="3"/>
      <c r="AN650" s="9"/>
      <c r="AO650" s="9"/>
      <c r="AP650" s="9"/>
      <c r="AQ650" s="9"/>
      <c r="AR650" s="2"/>
      <c r="AS650" s="31"/>
    </row>
    <row r="651" spans="1:45">
      <c r="A651" s="13">
        <v>36861</v>
      </c>
      <c r="B651" s="3">
        <v>91.977999999999994</v>
      </c>
      <c r="C651" s="24">
        <v>137614</v>
      </c>
      <c r="D651" s="24">
        <v>132580</v>
      </c>
      <c r="E651" s="2">
        <v>3.9</v>
      </c>
      <c r="F651" s="33">
        <v>5.6639999999999998E-3</v>
      </c>
      <c r="G651" s="33">
        <v>4.0530000000000002E-3</v>
      </c>
      <c r="H651" s="25">
        <v>7.21</v>
      </c>
      <c r="I651" s="25">
        <v>8.02</v>
      </c>
      <c r="J651" s="25">
        <v>6.4</v>
      </c>
      <c r="K651" s="25">
        <v>6.43</v>
      </c>
      <c r="L651" s="25">
        <v>5.77</v>
      </c>
      <c r="M651" s="33">
        <v>78.8</v>
      </c>
      <c r="N651">
        <v>-0.80013000000000001</v>
      </c>
      <c r="O651" s="31">
        <v>256</v>
      </c>
      <c r="P651" s="38">
        <v>168.2637</v>
      </c>
      <c r="Q651" s="24"/>
      <c r="R651" s="38">
        <v>1.369022</v>
      </c>
      <c r="T651" s="2"/>
      <c r="U651" s="2"/>
      <c r="V651" s="24"/>
      <c r="W651" s="24"/>
      <c r="X651" s="24"/>
      <c r="Y651" s="24"/>
      <c r="Z651" s="24"/>
      <c r="AA651" s="24"/>
      <c r="AB651" s="24"/>
      <c r="AC651" s="25"/>
      <c r="AD651" s="25"/>
      <c r="AE651" s="25"/>
      <c r="AF651" s="25"/>
      <c r="AG651" s="25"/>
      <c r="AH651" s="10"/>
      <c r="AI651" s="25"/>
      <c r="AJ651" s="25"/>
      <c r="AL651" s="3"/>
      <c r="AN651" s="9"/>
      <c r="AO651" s="9"/>
      <c r="AP651" s="9"/>
      <c r="AQ651" s="9"/>
      <c r="AR651" s="2"/>
      <c r="AS651" s="31"/>
    </row>
    <row r="652" spans="1:45">
      <c r="A652" s="13">
        <v>36892</v>
      </c>
      <c r="B652" s="3">
        <v>91.316599999999994</v>
      </c>
      <c r="C652" s="24">
        <v>137778</v>
      </c>
      <c r="D652" s="24">
        <v>132548</v>
      </c>
      <c r="E652" s="2">
        <v>4.2</v>
      </c>
      <c r="F652" s="33">
        <v>3.2252000000000003E-2</v>
      </c>
      <c r="G652" s="33">
        <v>3.4637000000000001E-2</v>
      </c>
      <c r="H652" s="25">
        <v>7.15</v>
      </c>
      <c r="I652" s="25">
        <v>7.93</v>
      </c>
      <c r="J652" s="25">
        <v>5.98</v>
      </c>
      <c r="K652" s="25">
        <v>5.62</v>
      </c>
      <c r="L652" s="25">
        <v>5.15</v>
      </c>
      <c r="M652" s="33">
        <v>75.400000000000006</v>
      </c>
      <c r="N652">
        <v>-2.9214000000000002</v>
      </c>
      <c r="O652" s="31">
        <v>254.54</v>
      </c>
      <c r="P652" s="38">
        <v>133.1515</v>
      </c>
      <c r="Q652" s="24"/>
      <c r="R652" s="38">
        <v>0.91610800000000003</v>
      </c>
      <c r="T652" s="2"/>
      <c r="U652" s="2"/>
      <c r="V652" s="24"/>
      <c r="W652" s="24"/>
      <c r="X652" s="24"/>
      <c r="Y652" s="24"/>
      <c r="Z652" s="24"/>
      <c r="AA652" s="24"/>
      <c r="AB652" s="24"/>
      <c r="AC652" s="25"/>
      <c r="AD652" s="25"/>
      <c r="AE652" s="25"/>
      <c r="AF652" s="25"/>
      <c r="AG652" s="25"/>
      <c r="AH652" s="10"/>
      <c r="AI652" s="25"/>
      <c r="AJ652" s="25"/>
      <c r="AL652" s="3"/>
      <c r="AN652" s="9"/>
      <c r="AO652" s="9"/>
      <c r="AP652" s="9"/>
      <c r="AQ652" s="9"/>
      <c r="AR652" s="2"/>
      <c r="AS652" s="31"/>
    </row>
    <row r="653" spans="1:45">
      <c r="A653" s="13">
        <v>36923</v>
      </c>
      <c r="B653" s="3">
        <v>90.766599999999997</v>
      </c>
      <c r="C653" s="24">
        <v>137612</v>
      </c>
      <c r="D653" s="24">
        <v>132617</v>
      </c>
      <c r="E653" s="2">
        <v>4.2</v>
      </c>
      <c r="F653" s="33">
        <v>-9.1106999999999994E-2</v>
      </c>
      <c r="G653" s="33">
        <v>-9.2290999999999998E-2</v>
      </c>
      <c r="H653" s="25">
        <v>7.1</v>
      </c>
      <c r="I653" s="25">
        <v>7.87</v>
      </c>
      <c r="J653" s="25">
        <v>5.49</v>
      </c>
      <c r="K653" s="25">
        <v>5.26</v>
      </c>
      <c r="L653" s="25">
        <v>4.88</v>
      </c>
      <c r="M653" s="33">
        <v>80.7</v>
      </c>
      <c r="N653">
        <v>-2.4695</v>
      </c>
      <c r="O653" s="31">
        <v>248.56</v>
      </c>
      <c r="P653" s="38">
        <v>129.53030000000001</v>
      </c>
      <c r="Q653" s="24"/>
      <c r="R653" s="38">
        <v>0.94193499999999997</v>
      </c>
      <c r="T653" s="2"/>
      <c r="U653" s="2"/>
      <c r="V653" s="24"/>
      <c r="W653" s="24"/>
      <c r="X653" s="24"/>
      <c r="Y653" s="24"/>
      <c r="Z653" s="24"/>
      <c r="AA653" s="24"/>
      <c r="AB653" s="24"/>
      <c r="AC653" s="25"/>
      <c r="AD653" s="25"/>
      <c r="AE653" s="25"/>
      <c r="AF653" s="25"/>
      <c r="AG653" s="25"/>
      <c r="AH653" s="10"/>
      <c r="AI653" s="25"/>
      <c r="AJ653" s="25"/>
      <c r="AL653" s="3"/>
      <c r="AN653" s="9"/>
      <c r="AO653" s="9"/>
      <c r="AP653" s="9"/>
      <c r="AQ653" s="9"/>
      <c r="AR653" s="2"/>
      <c r="AS653" s="31"/>
    </row>
    <row r="654" spans="1:45">
      <c r="A654" s="13">
        <v>36951</v>
      </c>
      <c r="B654" s="3">
        <v>90.520200000000003</v>
      </c>
      <c r="C654" s="24">
        <v>137783</v>
      </c>
      <c r="D654" s="24">
        <v>132588</v>
      </c>
      <c r="E654" s="2">
        <v>4.3</v>
      </c>
      <c r="F654" s="33">
        <v>-6.3499E-2</v>
      </c>
      <c r="G654" s="33">
        <v>-6.4204999999999998E-2</v>
      </c>
      <c r="H654" s="25">
        <v>6.98</v>
      </c>
      <c r="I654" s="25">
        <v>7.84</v>
      </c>
      <c r="J654" s="25">
        <v>5.31</v>
      </c>
      <c r="K654" s="25">
        <v>4.8899999999999997</v>
      </c>
      <c r="L654" s="25">
        <v>4.42</v>
      </c>
      <c r="M654" s="33">
        <v>73.099999999999994</v>
      </c>
      <c r="N654">
        <v>-0.49624000000000001</v>
      </c>
      <c r="O654" s="31">
        <v>246.35</v>
      </c>
      <c r="P654" s="38">
        <v>122.7597</v>
      </c>
      <c r="Q654" s="24"/>
      <c r="R654" s="38">
        <v>0.97891399999999995</v>
      </c>
      <c r="T654" s="2"/>
      <c r="U654" s="2"/>
      <c r="V654" s="24"/>
      <c r="W654" s="24"/>
      <c r="X654" s="24"/>
      <c r="Y654" s="24"/>
      <c r="Z654" s="24"/>
      <c r="AA654" s="24"/>
      <c r="AB654" s="24"/>
      <c r="AC654" s="25"/>
      <c r="AD654" s="25"/>
      <c r="AE654" s="25"/>
      <c r="AF654" s="25"/>
      <c r="AG654" s="25"/>
      <c r="AH654" s="10"/>
      <c r="AI654" s="25"/>
      <c r="AJ654" s="25"/>
      <c r="AL654" s="3"/>
      <c r="AN654" s="9"/>
      <c r="AO654" s="9"/>
      <c r="AP654" s="9"/>
      <c r="AQ654" s="9"/>
      <c r="AR654" s="2"/>
      <c r="AS654" s="31"/>
    </row>
    <row r="655" spans="1:45">
      <c r="A655" s="13">
        <v>36982</v>
      </c>
      <c r="B655" s="3">
        <v>90.2684</v>
      </c>
      <c r="C655" s="24">
        <v>137299</v>
      </c>
      <c r="D655" s="24">
        <v>132307</v>
      </c>
      <c r="E655" s="2">
        <v>4.4000000000000004</v>
      </c>
      <c r="F655" s="33">
        <v>7.7766000000000002E-2</v>
      </c>
      <c r="G655" s="33">
        <v>7.6813999999999993E-2</v>
      </c>
      <c r="H655" s="25">
        <v>7.2</v>
      </c>
      <c r="I655" s="25">
        <v>8.07</v>
      </c>
      <c r="J655" s="25">
        <v>4.8</v>
      </c>
      <c r="K655" s="25">
        <v>4.55</v>
      </c>
      <c r="L655" s="25">
        <v>3.87</v>
      </c>
      <c r="M655" s="33">
        <v>74.5</v>
      </c>
      <c r="N655">
        <v>-2.266</v>
      </c>
      <c r="O655" s="31">
        <v>244.03</v>
      </c>
      <c r="P655" s="38">
        <v>137.88470000000001</v>
      </c>
      <c r="Q655" s="24"/>
      <c r="R655" s="38">
        <v>0.77535200000000004</v>
      </c>
      <c r="T655" s="2"/>
      <c r="U655" s="2"/>
      <c r="V655" s="24"/>
      <c r="W655" s="24"/>
      <c r="X655" s="24"/>
      <c r="Y655" s="24"/>
      <c r="Z655" s="24"/>
      <c r="AA655" s="24"/>
      <c r="AB655" s="24"/>
      <c r="AC655" s="25"/>
      <c r="AD655" s="25"/>
      <c r="AE655" s="25"/>
      <c r="AF655" s="25"/>
      <c r="AG655" s="25"/>
      <c r="AH655" s="10"/>
      <c r="AI655" s="25"/>
      <c r="AJ655" s="25"/>
      <c r="AL655" s="3"/>
      <c r="AN655" s="9"/>
      <c r="AO655" s="9"/>
      <c r="AP655" s="9"/>
      <c r="AQ655" s="9"/>
      <c r="AR655" s="2"/>
      <c r="AS655" s="31"/>
    </row>
    <row r="656" spans="1:45">
      <c r="A656" s="13">
        <v>37012</v>
      </c>
      <c r="B656" s="3">
        <v>89.6126</v>
      </c>
      <c r="C656" s="24">
        <v>137092</v>
      </c>
      <c r="D656" s="24">
        <v>132266</v>
      </c>
      <c r="E656" s="2">
        <v>4.3</v>
      </c>
      <c r="F656" s="33">
        <v>7.0330000000000002E-3</v>
      </c>
      <c r="G656" s="33">
        <v>5.0899999999999999E-3</v>
      </c>
      <c r="H656" s="25">
        <v>7.29</v>
      </c>
      <c r="I656" s="25">
        <v>8.07</v>
      </c>
      <c r="J656" s="25">
        <v>4.21</v>
      </c>
      <c r="K656" s="25">
        <v>4.01</v>
      </c>
      <c r="L656" s="25">
        <v>3.62</v>
      </c>
      <c r="M656" s="33">
        <v>77.7</v>
      </c>
      <c r="N656">
        <v>-2.1835</v>
      </c>
      <c r="O656" s="31">
        <v>244.29</v>
      </c>
      <c r="P656" s="38">
        <v>115.67100000000001</v>
      </c>
      <c r="Q656" s="24"/>
      <c r="R656" s="38">
        <v>0.68833900000000003</v>
      </c>
      <c r="T656" s="2"/>
      <c r="U656" s="2"/>
      <c r="V656" s="24"/>
      <c r="W656" s="24"/>
      <c r="X656" s="24"/>
      <c r="Y656" s="24"/>
      <c r="Z656" s="24"/>
      <c r="AA656" s="24"/>
      <c r="AB656" s="24"/>
      <c r="AC656" s="25"/>
      <c r="AD656" s="25"/>
      <c r="AE656" s="25"/>
      <c r="AF656" s="25"/>
      <c r="AG656" s="25"/>
      <c r="AH656" s="10"/>
      <c r="AI656" s="25"/>
      <c r="AJ656" s="25"/>
      <c r="AL656" s="3"/>
      <c r="AN656" s="9"/>
      <c r="AO656" s="9"/>
      <c r="AP656" s="9"/>
      <c r="AQ656" s="9"/>
      <c r="AR656" s="2"/>
      <c r="AS656" s="31"/>
    </row>
    <row r="657" spans="1:45">
      <c r="A657" s="13">
        <v>37043</v>
      </c>
      <c r="B657" s="3">
        <v>89.0137</v>
      </c>
      <c r="C657" s="24">
        <v>136873</v>
      </c>
      <c r="D657" s="24">
        <v>132140</v>
      </c>
      <c r="E657" s="2">
        <v>4.5</v>
      </c>
      <c r="F657" s="33">
        <v>-2.4417000000000001E-2</v>
      </c>
      <c r="G657" s="33">
        <v>-2.5003999999999998E-2</v>
      </c>
      <c r="H657" s="25">
        <v>7.18</v>
      </c>
      <c r="I657" s="25">
        <v>7.97</v>
      </c>
      <c r="J657" s="25">
        <v>3.97</v>
      </c>
      <c r="K657" s="25">
        <v>3.73</v>
      </c>
      <c r="L657" s="25">
        <v>3.49</v>
      </c>
      <c r="M657" s="33">
        <v>77</v>
      </c>
      <c r="N657">
        <v>-0.13400999999999999</v>
      </c>
      <c r="O657" s="31">
        <v>245.92</v>
      </c>
      <c r="P657" s="38">
        <v>115.5149</v>
      </c>
      <c r="Q657" s="24"/>
      <c r="R657" s="38">
        <v>0.977854</v>
      </c>
      <c r="T657" s="2"/>
      <c r="U657" s="2"/>
      <c r="V657" s="24"/>
      <c r="W657" s="24"/>
      <c r="X657" s="24"/>
      <c r="Y657" s="24"/>
      <c r="Z657" s="24"/>
      <c r="AA657" s="24"/>
      <c r="AB657" s="24"/>
      <c r="AC657" s="25"/>
      <c r="AD657" s="25"/>
      <c r="AE657" s="25"/>
      <c r="AF657" s="25"/>
      <c r="AG657" s="25"/>
      <c r="AH657" s="10"/>
      <c r="AI657" s="25"/>
      <c r="AJ657" s="25"/>
      <c r="AL657" s="3"/>
      <c r="AN657" s="9"/>
      <c r="AO657" s="9"/>
      <c r="AP657" s="9"/>
      <c r="AQ657" s="9"/>
      <c r="AR657" s="2"/>
      <c r="AS657" s="31"/>
    </row>
    <row r="658" spans="1:45">
      <c r="A658" s="13">
        <v>37073</v>
      </c>
      <c r="B658" s="3">
        <v>88.621399999999994</v>
      </c>
      <c r="C658" s="24">
        <v>137071</v>
      </c>
      <c r="D658" s="24">
        <v>132018</v>
      </c>
      <c r="E658" s="2">
        <v>4.5999999999999996</v>
      </c>
      <c r="F658" s="33">
        <v>-9.3299999999999998E-3</v>
      </c>
      <c r="G658" s="33">
        <v>-1.0772E-2</v>
      </c>
      <c r="H658" s="25">
        <v>7.13</v>
      </c>
      <c r="I658" s="25">
        <v>7.97</v>
      </c>
      <c r="J658" s="25">
        <v>3.77</v>
      </c>
      <c r="K658" s="25">
        <v>3.66</v>
      </c>
      <c r="L658" s="25">
        <v>3.51</v>
      </c>
      <c r="M658" s="33">
        <v>72.8</v>
      </c>
      <c r="N658">
        <v>0.36194999999999999</v>
      </c>
      <c r="O658" s="31">
        <v>244.22</v>
      </c>
      <c r="P658" s="38">
        <v>132.29079999999999</v>
      </c>
      <c r="Q658" s="24"/>
      <c r="R658" s="38">
        <v>0.56596000000000002</v>
      </c>
      <c r="T658" s="2"/>
      <c r="U658" s="2"/>
      <c r="V658" s="24"/>
      <c r="W658" s="24"/>
      <c r="X658" s="24"/>
      <c r="Y658" s="24"/>
      <c r="Z658" s="24"/>
      <c r="AA658" s="24"/>
      <c r="AB658" s="24"/>
      <c r="AC658" s="25"/>
      <c r="AD658" s="25"/>
      <c r="AE658" s="25"/>
      <c r="AF658" s="25"/>
      <c r="AG658" s="25"/>
      <c r="AH658" s="10"/>
      <c r="AI658" s="25"/>
      <c r="AJ658" s="25"/>
      <c r="AL658" s="3"/>
      <c r="AN658" s="9"/>
      <c r="AO658" s="9"/>
      <c r="AP658" s="9"/>
      <c r="AQ658" s="9"/>
      <c r="AR658" s="2"/>
      <c r="AS658" s="31"/>
    </row>
    <row r="659" spans="1:45">
      <c r="A659" s="13">
        <v>37104</v>
      </c>
      <c r="B659" s="3">
        <v>88.393799999999999</v>
      </c>
      <c r="C659" s="24">
        <v>136241</v>
      </c>
      <c r="D659" s="24">
        <v>131862</v>
      </c>
      <c r="E659" s="2">
        <v>4.9000000000000004</v>
      </c>
      <c r="F659" s="33">
        <v>-6.3435000000000005E-2</v>
      </c>
      <c r="G659" s="33">
        <v>-6.4107999999999998E-2</v>
      </c>
      <c r="H659" s="25">
        <v>7.02</v>
      </c>
      <c r="I659" s="25">
        <v>7.85</v>
      </c>
      <c r="J659" s="25">
        <v>3.65</v>
      </c>
      <c r="K659" s="25">
        <v>3.47</v>
      </c>
      <c r="L659" s="25">
        <v>3.36</v>
      </c>
      <c r="M659" s="33">
        <v>72.599999999999994</v>
      </c>
      <c r="N659">
        <v>-0.29675000000000001</v>
      </c>
      <c r="O659" s="31">
        <v>238.26</v>
      </c>
      <c r="P659" s="38">
        <v>110.5578</v>
      </c>
      <c r="Q659" s="24"/>
      <c r="R659" s="38">
        <v>0.61175599999999997</v>
      </c>
      <c r="T659" s="2"/>
      <c r="U659" s="2"/>
      <c r="V659" s="24"/>
      <c r="W659" s="24"/>
      <c r="X659" s="24"/>
      <c r="Y659" s="24"/>
      <c r="Z659" s="24"/>
      <c r="AA659" s="24"/>
      <c r="AB659" s="24"/>
      <c r="AC659" s="25"/>
      <c r="AD659" s="25"/>
      <c r="AE659" s="25"/>
      <c r="AF659" s="25"/>
      <c r="AG659" s="25"/>
      <c r="AH659" s="10"/>
      <c r="AI659" s="25"/>
      <c r="AJ659" s="25"/>
      <c r="AL659" s="3"/>
      <c r="AN659" s="9"/>
      <c r="AO659" s="9"/>
      <c r="AP659" s="9"/>
      <c r="AQ659" s="9"/>
      <c r="AR659" s="2"/>
      <c r="AS659" s="31"/>
    </row>
    <row r="660" spans="1:45">
      <c r="A660" s="13">
        <v>37135</v>
      </c>
      <c r="B660" s="3">
        <v>88.105500000000006</v>
      </c>
      <c r="C660" s="24">
        <v>136846</v>
      </c>
      <c r="D660" s="24">
        <v>131618</v>
      </c>
      <c r="E660" s="2">
        <v>5</v>
      </c>
      <c r="F660" s="33">
        <v>-8.0425999999999997E-2</v>
      </c>
      <c r="G660" s="33">
        <v>-8.1723000000000004E-2</v>
      </c>
      <c r="H660" s="25">
        <v>7.17</v>
      </c>
      <c r="I660" s="25">
        <v>8.0299999999999994</v>
      </c>
      <c r="J660" s="25">
        <v>3.07</v>
      </c>
      <c r="K660" s="25">
        <v>2.85</v>
      </c>
      <c r="L660" s="25">
        <v>2.64</v>
      </c>
      <c r="M660" s="33">
        <v>73</v>
      </c>
      <c r="N660">
        <v>-4.8128000000000002</v>
      </c>
      <c r="O660" s="31">
        <v>228.3</v>
      </c>
      <c r="P660" s="38">
        <v>216.30850000000001</v>
      </c>
      <c r="Q660" s="24"/>
      <c r="R660" s="38">
        <v>1.002259</v>
      </c>
      <c r="T660" s="2"/>
      <c r="U660" s="2"/>
      <c r="V660" s="24"/>
      <c r="W660" s="24"/>
      <c r="X660" s="24"/>
      <c r="Y660" s="24"/>
      <c r="Z660" s="24"/>
      <c r="AA660" s="24"/>
      <c r="AB660" s="24"/>
      <c r="AC660" s="25"/>
      <c r="AD660" s="25"/>
      <c r="AE660" s="25"/>
      <c r="AF660" s="25"/>
      <c r="AG660" s="25"/>
      <c r="AH660" s="10"/>
      <c r="AI660" s="25"/>
      <c r="AJ660" s="25"/>
      <c r="AL660" s="3"/>
      <c r="AN660" s="9"/>
      <c r="AO660" s="9"/>
      <c r="AP660" s="9"/>
      <c r="AQ660" s="9"/>
      <c r="AR660" s="2"/>
      <c r="AS660" s="31"/>
    </row>
    <row r="661" spans="1:45">
      <c r="A661" s="13">
        <v>37165</v>
      </c>
      <c r="B661" s="3">
        <v>87.6738</v>
      </c>
      <c r="C661" s="24">
        <v>136392</v>
      </c>
      <c r="D661" s="24">
        <v>131291</v>
      </c>
      <c r="E661" s="2">
        <v>5.3</v>
      </c>
      <c r="F661" s="33">
        <v>1.9557999999999999E-2</v>
      </c>
      <c r="G661" s="33">
        <v>1.8099000000000001E-2</v>
      </c>
      <c r="H661" s="25">
        <v>7.03</v>
      </c>
      <c r="I661" s="25">
        <v>7.91</v>
      </c>
      <c r="J661" s="25">
        <v>2.4900000000000002</v>
      </c>
      <c r="K661" s="25">
        <v>2.31</v>
      </c>
      <c r="L661" s="25">
        <v>2.16</v>
      </c>
      <c r="M661" s="33">
        <v>56.9</v>
      </c>
      <c r="N661">
        <v>1.7695000000000001</v>
      </c>
      <c r="O661" s="31">
        <v>220.5</v>
      </c>
      <c r="P661" s="38">
        <v>218.685</v>
      </c>
      <c r="Q661" s="24"/>
      <c r="R661" s="38">
        <v>0.86889099999999997</v>
      </c>
      <c r="T661" s="2"/>
      <c r="U661" s="2"/>
      <c r="V661" s="24"/>
      <c r="W661" s="24"/>
      <c r="X661" s="24"/>
      <c r="Y661" s="24"/>
      <c r="Z661" s="24"/>
      <c r="AA661" s="24"/>
      <c r="AB661" s="24"/>
      <c r="AC661" s="25"/>
      <c r="AD661" s="25"/>
      <c r="AE661" s="25"/>
      <c r="AF661" s="25"/>
      <c r="AG661" s="25"/>
      <c r="AH661" s="10"/>
      <c r="AI661" s="25"/>
      <c r="AJ661" s="25"/>
      <c r="AL661" s="3"/>
      <c r="AN661" s="9"/>
      <c r="AO661" s="9"/>
      <c r="AP661" s="9"/>
      <c r="AQ661" s="9"/>
      <c r="AR661" s="2"/>
      <c r="AS661" s="31"/>
    </row>
    <row r="662" spans="1:45">
      <c r="A662" s="13">
        <v>37196</v>
      </c>
      <c r="B662" s="3">
        <v>87.200800000000001</v>
      </c>
      <c r="C662" s="24">
        <v>136238</v>
      </c>
      <c r="D662" s="24">
        <v>130995</v>
      </c>
      <c r="E662" s="2">
        <v>5.5</v>
      </c>
      <c r="F662" s="33">
        <v>7.8787999999999997E-2</v>
      </c>
      <c r="G662" s="33">
        <v>7.5176000000000007E-2</v>
      </c>
      <c r="H662" s="25">
        <v>6.97</v>
      </c>
      <c r="I662" s="25">
        <v>7.81</v>
      </c>
      <c r="J662" s="25">
        <v>2.09</v>
      </c>
      <c r="K662" s="25">
        <v>2.0299999999999998</v>
      </c>
      <c r="L662" s="25">
        <v>1.87</v>
      </c>
      <c r="M662" s="33">
        <v>51.3</v>
      </c>
      <c r="N662">
        <v>-1.389</v>
      </c>
      <c r="O662" s="31">
        <v>219.22</v>
      </c>
      <c r="P662" s="38">
        <v>193.9085</v>
      </c>
      <c r="Q662" s="24"/>
      <c r="R662" s="38">
        <v>-0.43353900000000001</v>
      </c>
      <c r="T662" s="2"/>
      <c r="U662" s="2"/>
      <c r="V662" s="24"/>
      <c r="W662" s="24"/>
      <c r="X662" s="24"/>
      <c r="Y662" s="24"/>
      <c r="Z662" s="24"/>
      <c r="AA662" s="24"/>
      <c r="AB662" s="24"/>
      <c r="AC662" s="25"/>
      <c r="AD662" s="25"/>
      <c r="AE662" s="25"/>
      <c r="AF662" s="25"/>
      <c r="AG662" s="25"/>
      <c r="AH662" s="10"/>
      <c r="AI662" s="25"/>
      <c r="AJ662" s="25"/>
      <c r="AL662" s="3"/>
      <c r="AN662" s="9"/>
      <c r="AO662" s="9"/>
      <c r="AP662" s="9"/>
      <c r="AQ662" s="9"/>
      <c r="AR662" s="2"/>
      <c r="AS662" s="31"/>
    </row>
    <row r="663" spans="1:45">
      <c r="A663" s="13">
        <v>37226</v>
      </c>
      <c r="B663" s="3">
        <v>87.222399999999993</v>
      </c>
      <c r="C663" s="24">
        <v>136047</v>
      </c>
      <c r="D663" s="24">
        <v>130823</v>
      </c>
      <c r="E663" s="2">
        <v>5.7</v>
      </c>
      <c r="F663" s="33">
        <v>9.0500000000000008E-3</v>
      </c>
      <c r="G663" s="33">
        <v>7.574E-3</v>
      </c>
      <c r="H663" s="25">
        <v>6.77</v>
      </c>
      <c r="I663" s="25">
        <v>8.0500000000000007</v>
      </c>
      <c r="J663" s="25">
        <v>1.82</v>
      </c>
      <c r="K663" s="25">
        <v>1.84</v>
      </c>
      <c r="L663" s="25">
        <v>1.69</v>
      </c>
      <c r="M663" s="33">
        <v>45.4</v>
      </c>
      <c r="N663">
        <v>-0.43844</v>
      </c>
      <c r="O663" s="31">
        <v>221.57</v>
      </c>
      <c r="P663" s="38">
        <v>153.72489999999999</v>
      </c>
      <c r="Q663" s="24"/>
      <c r="R663" s="38">
        <v>0.35623500000000002</v>
      </c>
      <c r="T663" s="2"/>
      <c r="U663" s="2"/>
      <c r="V663" s="24"/>
      <c r="W663" s="24"/>
      <c r="X663" s="24"/>
      <c r="Y663" s="24"/>
      <c r="Z663" s="24"/>
      <c r="AA663" s="24"/>
      <c r="AB663" s="24"/>
      <c r="AC663" s="25"/>
      <c r="AD663" s="25"/>
      <c r="AE663" s="25"/>
      <c r="AF663" s="25"/>
      <c r="AG663" s="25"/>
      <c r="AH663" s="10"/>
      <c r="AI663" s="25"/>
      <c r="AJ663" s="25"/>
      <c r="AL663" s="3"/>
      <c r="AN663" s="9"/>
      <c r="AO663" s="9"/>
      <c r="AP663" s="9"/>
      <c r="AQ663" s="9"/>
      <c r="AR663" s="2"/>
      <c r="AS663" s="31"/>
    </row>
    <row r="664" spans="1:45">
      <c r="A664" s="13">
        <v>37257</v>
      </c>
      <c r="B664" s="3">
        <v>87.76</v>
      </c>
      <c r="C664" s="24">
        <v>135701</v>
      </c>
      <c r="D664" s="24">
        <v>130680</v>
      </c>
      <c r="E664" s="2">
        <v>5.7</v>
      </c>
      <c r="F664" s="33">
        <v>-1.4321E-2</v>
      </c>
      <c r="G664" s="33">
        <v>-1.5573999999999999E-2</v>
      </c>
      <c r="H664" s="25">
        <v>6.55</v>
      </c>
      <c r="I664" s="25">
        <v>7.87</v>
      </c>
      <c r="J664" s="25">
        <v>1.73</v>
      </c>
      <c r="K664" s="25">
        <v>1.75</v>
      </c>
      <c r="L664" s="25">
        <v>1.65</v>
      </c>
      <c r="M664" s="33">
        <v>48.6</v>
      </c>
      <c r="N664">
        <v>0.63910999999999996</v>
      </c>
      <c r="O664" s="31">
        <v>219.05</v>
      </c>
      <c r="P664" s="38">
        <v>144.7456</v>
      </c>
      <c r="Q664" s="24"/>
      <c r="R664" s="38">
        <v>0.49834699999999998</v>
      </c>
      <c r="T664" s="2"/>
      <c r="U664" s="2"/>
      <c r="V664" s="24"/>
      <c r="W664" s="24"/>
      <c r="X664" s="24"/>
      <c r="Y664" s="24"/>
      <c r="Z664" s="24"/>
      <c r="AA664" s="24"/>
      <c r="AB664" s="24"/>
      <c r="AC664" s="25"/>
      <c r="AD664" s="25"/>
      <c r="AE664" s="25"/>
      <c r="AF664" s="25"/>
      <c r="AG664" s="25"/>
      <c r="AH664" s="10"/>
      <c r="AI664" s="25"/>
      <c r="AJ664" s="25"/>
      <c r="AL664" s="3"/>
      <c r="AN664" s="9"/>
      <c r="AO664" s="9"/>
      <c r="AP664" s="9"/>
      <c r="AQ664" s="9"/>
      <c r="AR664" s="2"/>
      <c r="AS664" s="31"/>
    </row>
    <row r="665" spans="1:45">
      <c r="A665" s="13">
        <v>37288</v>
      </c>
      <c r="B665" s="3">
        <v>87.724900000000005</v>
      </c>
      <c r="C665" s="24">
        <v>136438</v>
      </c>
      <c r="D665" s="24">
        <v>130545</v>
      </c>
      <c r="E665" s="2">
        <v>5.7</v>
      </c>
      <c r="F665" s="33">
        <v>-1.9480999999999998E-2</v>
      </c>
      <c r="G665" s="33">
        <v>-2.0766E-2</v>
      </c>
      <c r="H665" s="25">
        <v>6.51</v>
      </c>
      <c r="I665" s="25">
        <v>7.89</v>
      </c>
      <c r="J665" s="25">
        <v>1.74</v>
      </c>
      <c r="K665" s="25">
        <v>1.82</v>
      </c>
      <c r="L665" s="25">
        <v>1.73</v>
      </c>
      <c r="M665" s="33">
        <v>53.5</v>
      </c>
      <c r="N665">
        <v>-0.87588999999999995</v>
      </c>
      <c r="O665" s="31">
        <v>222.34</v>
      </c>
      <c r="P665" s="38">
        <v>135.49680000000001</v>
      </c>
      <c r="Q665" s="24"/>
      <c r="R665" s="38">
        <v>0.71162099999999995</v>
      </c>
      <c r="T665" s="2"/>
      <c r="U665" s="2"/>
      <c r="V665" s="24"/>
      <c r="W665" s="24"/>
      <c r="X665" s="24"/>
      <c r="Y665" s="24"/>
      <c r="Z665" s="24"/>
      <c r="AA665" s="24"/>
      <c r="AB665" s="24"/>
      <c r="AC665" s="25"/>
      <c r="AD665" s="25"/>
      <c r="AE665" s="25"/>
      <c r="AF665" s="25"/>
      <c r="AG665" s="25"/>
      <c r="AH665" s="10"/>
      <c r="AI665" s="25"/>
      <c r="AJ665" s="25"/>
      <c r="AL665" s="3"/>
      <c r="AN665" s="9"/>
      <c r="AO665" s="9"/>
      <c r="AP665" s="9"/>
      <c r="AQ665" s="9"/>
      <c r="AR665" s="2"/>
      <c r="AS665" s="31"/>
    </row>
    <row r="666" spans="1:45">
      <c r="A666" s="13">
        <v>37316</v>
      </c>
      <c r="B666" s="3">
        <v>88.374799999999993</v>
      </c>
      <c r="C666" s="24">
        <v>136177</v>
      </c>
      <c r="D666" s="24">
        <v>130523</v>
      </c>
      <c r="E666" s="2">
        <v>5.7</v>
      </c>
      <c r="F666" s="33">
        <v>3.7573000000000002E-2</v>
      </c>
      <c r="G666" s="33">
        <v>3.6739000000000001E-2</v>
      </c>
      <c r="H666" s="25">
        <v>6.81</v>
      </c>
      <c r="I666" s="25">
        <v>8.11</v>
      </c>
      <c r="J666" s="25">
        <v>1.73</v>
      </c>
      <c r="K666" s="25">
        <v>1.91</v>
      </c>
      <c r="L666" s="25">
        <v>1.79</v>
      </c>
      <c r="M666" s="33">
        <v>65</v>
      </c>
      <c r="N666">
        <v>1.0911999999999999</v>
      </c>
      <c r="O666" s="31">
        <v>231.03</v>
      </c>
      <c r="P666" s="38">
        <v>124.8051</v>
      </c>
      <c r="Q666" s="24"/>
      <c r="R666" s="38">
        <v>0.26178800000000002</v>
      </c>
      <c r="T666" s="2"/>
      <c r="U666" s="2"/>
      <c r="V666" s="24"/>
      <c r="W666" s="24"/>
      <c r="X666" s="24"/>
      <c r="Y666" s="24"/>
      <c r="Z666" s="24"/>
      <c r="AA666" s="24"/>
      <c r="AB666" s="24"/>
      <c r="AC666" s="25"/>
      <c r="AD666" s="25"/>
      <c r="AE666" s="25"/>
      <c r="AF666" s="25"/>
      <c r="AG666" s="25"/>
      <c r="AH666" s="10"/>
      <c r="AI666" s="25"/>
      <c r="AJ666" s="25"/>
      <c r="AL666" s="3"/>
      <c r="AN666" s="9"/>
      <c r="AO666" s="9"/>
      <c r="AP666" s="9"/>
      <c r="AQ666" s="9"/>
      <c r="AR666" s="2"/>
      <c r="AS666" s="31"/>
    </row>
    <row r="667" spans="1:45">
      <c r="A667" s="13">
        <v>37347</v>
      </c>
      <c r="B667" s="3">
        <v>88.744600000000005</v>
      </c>
      <c r="C667" s="24">
        <v>136126</v>
      </c>
      <c r="D667" s="24">
        <v>130440</v>
      </c>
      <c r="E667" s="2">
        <v>5.9</v>
      </c>
      <c r="F667" s="33">
        <v>-6.1020999999999999E-2</v>
      </c>
      <c r="G667" s="33">
        <v>-6.1418E-2</v>
      </c>
      <c r="H667" s="25">
        <v>6.76</v>
      </c>
      <c r="I667" s="25">
        <v>8.0299999999999994</v>
      </c>
      <c r="J667" s="25">
        <v>1.75</v>
      </c>
      <c r="K667" s="25">
        <v>1.88</v>
      </c>
      <c r="L667" s="25">
        <v>1.72</v>
      </c>
      <c r="M667" s="33">
        <v>70.7</v>
      </c>
      <c r="N667">
        <v>-0.40412999999999999</v>
      </c>
      <c r="O667" s="31">
        <v>230.38</v>
      </c>
      <c r="P667" s="38">
        <v>125.1705</v>
      </c>
      <c r="Q667" s="24"/>
      <c r="R667" s="38">
        <v>0.38313999999999998</v>
      </c>
      <c r="T667" s="2"/>
      <c r="U667" s="2"/>
      <c r="V667" s="24"/>
      <c r="W667" s="24"/>
      <c r="X667" s="24"/>
      <c r="Y667" s="24"/>
      <c r="Z667" s="24"/>
      <c r="AA667" s="24"/>
      <c r="AB667" s="24"/>
      <c r="AC667" s="25"/>
      <c r="AD667" s="25"/>
      <c r="AE667" s="25"/>
      <c r="AF667" s="25"/>
      <c r="AG667" s="25"/>
      <c r="AH667" s="10"/>
      <c r="AI667" s="25"/>
      <c r="AJ667" s="25"/>
      <c r="AL667" s="3"/>
      <c r="AN667" s="9"/>
      <c r="AO667" s="9"/>
      <c r="AP667" s="9"/>
      <c r="AQ667" s="9"/>
      <c r="AR667" s="2"/>
      <c r="AS667" s="31"/>
    </row>
    <row r="668" spans="1:45">
      <c r="A668" s="13">
        <v>37377</v>
      </c>
      <c r="B668" s="3">
        <v>89.202600000000004</v>
      </c>
      <c r="C668" s="24">
        <v>136539</v>
      </c>
      <c r="D668" s="24">
        <v>130434</v>
      </c>
      <c r="E668" s="2">
        <v>5.8</v>
      </c>
      <c r="F668" s="33">
        <v>-7.7999999999999996E-3</v>
      </c>
      <c r="G668" s="33">
        <v>-9.0810000000000005E-3</v>
      </c>
      <c r="H668" s="25">
        <v>6.75</v>
      </c>
      <c r="I668" s="25">
        <v>8.09</v>
      </c>
      <c r="J668" s="25">
        <v>1.75</v>
      </c>
      <c r="K668" s="25">
        <v>1.82</v>
      </c>
      <c r="L668" s="25">
        <v>1.73</v>
      </c>
      <c r="M668" s="33">
        <v>77.099999999999994</v>
      </c>
      <c r="N668">
        <v>-1.7362</v>
      </c>
      <c r="O668" s="31">
        <v>231.81</v>
      </c>
      <c r="P668" s="38">
        <v>118.7381</v>
      </c>
      <c r="Q668" s="24"/>
      <c r="R668" s="38">
        <v>0.41307500000000003</v>
      </c>
      <c r="T668" s="2"/>
      <c r="U668" s="2"/>
      <c r="V668" s="24"/>
      <c r="W668" s="24"/>
      <c r="X668" s="24"/>
      <c r="Y668" s="24"/>
      <c r="Z668" s="24"/>
      <c r="AA668" s="24"/>
      <c r="AB668" s="24"/>
      <c r="AC668" s="25"/>
      <c r="AD668" s="25"/>
      <c r="AE668" s="25"/>
      <c r="AF668" s="25"/>
      <c r="AG668" s="25"/>
      <c r="AH668" s="10"/>
      <c r="AI668" s="25"/>
      <c r="AJ668" s="25"/>
      <c r="AL668" s="3"/>
      <c r="AN668" s="9"/>
      <c r="AO668" s="9"/>
      <c r="AP668" s="9"/>
      <c r="AQ668" s="9"/>
      <c r="AR668" s="2"/>
      <c r="AS668" s="31"/>
    </row>
    <row r="669" spans="1:45">
      <c r="A669" s="13">
        <v>37408</v>
      </c>
      <c r="B669" s="3">
        <v>90.0745</v>
      </c>
      <c r="C669" s="24">
        <v>136415</v>
      </c>
      <c r="D669" s="24">
        <v>130486</v>
      </c>
      <c r="E669" s="2">
        <v>5.8</v>
      </c>
      <c r="F669" s="33">
        <v>-7.1346000000000007E-2</v>
      </c>
      <c r="G669" s="33">
        <v>-7.2465000000000002E-2</v>
      </c>
      <c r="H669" s="25">
        <v>6.63</v>
      </c>
      <c r="I669" s="25">
        <v>7.95</v>
      </c>
      <c r="J669" s="25">
        <v>1.75</v>
      </c>
      <c r="K669" s="25">
        <v>1.81</v>
      </c>
      <c r="L669" s="25">
        <v>1.7</v>
      </c>
      <c r="M669" s="33">
        <v>63.6</v>
      </c>
      <c r="N669">
        <v>0.13711000000000001</v>
      </c>
      <c r="O669" s="31">
        <v>243.72</v>
      </c>
      <c r="P669" s="38">
        <v>137.476</v>
      </c>
      <c r="Q669" s="24"/>
      <c r="R669" s="38">
        <v>0.75232200000000005</v>
      </c>
      <c r="T669" s="2"/>
      <c r="U669" s="2"/>
      <c r="V669" s="24"/>
      <c r="W669" s="24"/>
      <c r="X669" s="24"/>
      <c r="Y669" s="24"/>
      <c r="Z669" s="24"/>
      <c r="AA669" s="24"/>
      <c r="AB669" s="24"/>
      <c r="AC669" s="25"/>
      <c r="AD669" s="25"/>
      <c r="AE669" s="25"/>
      <c r="AF669" s="25"/>
      <c r="AG669" s="25"/>
      <c r="AH669" s="10"/>
      <c r="AI669" s="25"/>
      <c r="AJ669" s="25"/>
      <c r="AL669" s="3"/>
      <c r="AN669" s="9"/>
      <c r="AO669" s="9"/>
      <c r="AP669" s="9"/>
      <c r="AQ669" s="9"/>
      <c r="AR669" s="2"/>
      <c r="AS669" s="31"/>
    </row>
    <row r="670" spans="1:45">
      <c r="A670" s="13">
        <v>37438</v>
      </c>
      <c r="B670" s="3">
        <v>89.772300000000001</v>
      </c>
      <c r="C670" s="24">
        <v>136413</v>
      </c>
      <c r="D670" s="24">
        <v>130394</v>
      </c>
      <c r="E670" s="2">
        <v>5.8</v>
      </c>
      <c r="F670" s="33">
        <v>-7.3974999999999999E-2</v>
      </c>
      <c r="G670" s="33">
        <v>-7.8994999999999996E-2</v>
      </c>
      <c r="H670" s="25">
        <v>6.53</v>
      </c>
      <c r="I670" s="25">
        <v>7.9</v>
      </c>
      <c r="J670" s="25">
        <v>1.73</v>
      </c>
      <c r="K670" s="25">
        <v>1.78</v>
      </c>
      <c r="L670" s="25">
        <v>1.68</v>
      </c>
      <c r="M670" s="33">
        <v>68.3</v>
      </c>
      <c r="N670">
        <v>-1.0662</v>
      </c>
      <c r="O670" s="31">
        <v>245.38</v>
      </c>
      <c r="P670" s="38">
        <v>153.1968</v>
      </c>
      <c r="Q670" s="24"/>
      <c r="R670" s="38">
        <v>1.1727069999999999</v>
      </c>
      <c r="T670" s="2"/>
      <c r="U670" s="2"/>
      <c r="V670" s="24"/>
      <c r="W670" s="24"/>
      <c r="X670" s="24"/>
      <c r="Y670" s="24"/>
      <c r="Z670" s="24"/>
      <c r="AA670" s="24"/>
      <c r="AB670" s="24"/>
      <c r="AC670" s="25"/>
      <c r="AD670" s="25"/>
      <c r="AE670" s="25"/>
      <c r="AF670" s="25"/>
      <c r="AG670" s="25"/>
      <c r="AH670" s="10"/>
      <c r="AI670" s="25"/>
      <c r="AJ670" s="25"/>
      <c r="AL670" s="3"/>
      <c r="AN670" s="9"/>
      <c r="AO670" s="9"/>
      <c r="AP670" s="9"/>
      <c r="AQ670" s="9"/>
      <c r="AR670" s="2"/>
      <c r="AS670" s="31"/>
    </row>
    <row r="671" spans="1:45">
      <c r="A671" s="13">
        <v>37469</v>
      </c>
      <c r="B671" s="3">
        <v>89.895799999999994</v>
      </c>
      <c r="C671" s="24">
        <v>136705</v>
      </c>
      <c r="D671" s="24">
        <v>130380</v>
      </c>
      <c r="E671" s="2">
        <v>5.7</v>
      </c>
      <c r="F671" s="33">
        <v>7.0429999999999998E-3</v>
      </c>
      <c r="G671" s="33">
        <v>4.8809999999999999E-3</v>
      </c>
      <c r="H671" s="25">
        <v>6.37</v>
      </c>
      <c r="I671" s="25">
        <v>7.58</v>
      </c>
      <c r="J671" s="25">
        <v>1.74</v>
      </c>
      <c r="K671" s="25">
        <v>1.72</v>
      </c>
      <c r="L671" s="25">
        <v>1.62</v>
      </c>
      <c r="M671" s="33">
        <v>72.8</v>
      </c>
      <c r="N671">
        <v>-0.29815000000000003</v>
      </c>
      <c r="O671" s="31">
        <v>240.53</v>
      </c>
      <c r="P671" s="38">
        <v>134.33430000000001</v>
      </c>
      <c r="Q671" s="24"/>
      <c r="R671" s="38">
        <v>1.1976519999999999</v>
      </c>
      <c r="T671" s="2"/>
      <c r="U671" s="2"/>
      <c r="V671" s="24"/>
      <c r="W671" s="24"/>
      <c r="X671" s="24"/>
      <c r="Y671" s="24"/>
      <c r="Z671" s="24"/>
      <c r="AA671" s="24"/>
      <c r="AB671" s="24"/>
      <c r="AC671" s="25"/>
      <c r="AD671" s="25"/>
      <c r="AE671" s="25"/>
      <c r="AF671" s="25"/>
      <c r="AG671" s="25"/>
      <c r="AH671" s="10"/>
      <c r="AI671" s="25"/>
      <c r="AJ671" s="25"/>
      <c r="AL671" s="3"/>
      <c r="AN671" s="9"/>
      <c r="AO671" s="9"/>
      <c r="AP671" s="9"/>
      <c r="AQ671" s="9"/>
      <c r="AR671" s="2"/>
      <c r="AS671" s="31"/>
    </row>
    <row r="672" spans="1:45">
      <c r="A672" s="13">
        <v>37500</v>
      </c>
      <c r="B672" s="3">
        <v>89.942499999999995</v>
      </c>
      <c r="C672" s="24">
        <v>137302</v>
      </c>
      <c r="D672" s="24">
        <v>130322</v>
      </c>
      <c r="E672" s="2">
        <v>5.7</v>
      </c>
      <c r="F672" s="33">
        <v>-0.109019</v>
      </c>
      <c r="G672" s="33">
        <v>-0.110013</v>
      </c>
      <c r="H672" s="25">
        <v>6.15</v>
      </c>
      <c r="I672" s="25">
        <v>7.4</v>
      </c>
      <c r="J672" s="25">
        <v>1.75</v>
      </c>
      <c r="K672" s="25">
        <v>1.75</v>
      </c>
      <c r="L672" s="25">
        <v>1.63</v>
      </c>
      <c r="M672" s="33">
        <v>77.5</v>
      </c>
      <c r="N672">
        <v>0.13905999999999999</v>
      </c>
      <c r="O672" s="31">
        <v>240.77</v>
      </c>
      <c r="P672" s="38">
        <v>151.5282</v>
      </c>
      <c r="Q672" s="24"/>
      <c r="R672" s="38">
        <v>1.3158540000000001</v>
      </c>
      <c r="T672" s="2"/>
      <c r="U672" s="2"/>
      <c r="V672" s="24"/>
      <c r="W672" s="24"/>
      <c r="X672" s="24"/>
      <c r="Y672" s="24"/>
      <c r="Z672" s="24"/>
      <c r="AA672" s="24"/>
      <c r="AB672" s="24"/>
      <c r="AC672" s="25"/>
      <c r="AD672" s="25"/>
      <c r="AE672" s="25"/>
      <c r="AF672" s="25"/>
      <c r="AG672" s="25"/>
      <c r="AH672" s="10"/>
      <c r="AI672" s="25"/>
      <c r="AJ672" s="25"/>
      <c r="AL672" s="3"/>
      <c r="AN672" s="9"/>
      <c r="AO672" s="9"/>
      <c r="AP672" s="9"/>
      <c r="AQ672" s="9"/>
      <c r="AR672" s="2"/>
      <c r="AS672" s="31"/>
    </row>
    <row r="673" spans="1:45">
      <c r="A673" s="13">
        <v>37530</v>
      </c>
      <c r="B673" s="3">
        <v>89.644599999999997</v>
      </c>
      <c r="C673" s="24">
        <v>137008</v>
      </c>
      <c r="D673" s="24">
        <v>130446</v>
      </c>
      <c r="E673" s="2">
        <v>5.7</v>
      </c>
      <c r="F673" s="33">
        <v>8.8598999999999997E-2</v>
      </c>
      <c r="G673" s="33">
        <v>8.6435999999999999E-2</v>
      </c>
      <c r="H673" s="25">
        <v>6.32</v>
      </c>
      <c r="I673" s="25">
        <v>7.73</v>
      </c>
      <c r="J673" s="25">
        <v>1.75</v>
      </c>
      <c r="K673" s="25">
        <v>1.73</v>
      </c>
      <c r="L673" s="25">
        <v>1.58</v>
      </c>
      <c r="M673" s="33">
        <v>76.7</v>
      </c>
      <c r="N673">
        <v>-1.1414</v>
      </c>
      <c r="O673" s="31">
        <v>240.8</v>
      </c>
      <c r="P673" s="38">
        <v>130.74770000000001</v>
      </c>
      <c r="Q673" s="24"/>
      <c r="R673" s="38">
        <v>1.1193789999999999</v>
      </c>
      <c r="T673" s="2"/>
      <c r="U673" s="2"/>
      <c r="V673" s="24"/>
      <c r="W673" s="24"/>
      <c r="X673" s="24"/>
      <c r="Y673" s="24"/>
      <c r="Z673" s="24"/>
      <c r="AA673" s="24"/>
      <c r="AB673" s="24"/>
      <c r="AC673" s="25"/>
      <c r="AD673" s="25"/>
      <c r="AE673" s="25"/>
      <c r="AF673" s="25"/>
      <c r="AG673" s="25"/>
      <c r="AH673" s="10"/>
      <c r="AI673" s="25"/>
      <c r="AJ673" s="25"/>
      <c r="AL673" s="3"/>
      <c r="AN673" s="9"/>
      <c r="AO673" s="9"/>
      <c r="AP673" s="9"/>
      <c r="AQ673" s="9"/>
      <c r="AR673" s="2"/>
      <c r="AS673" s="31"/>
    </row>
    <row r="674" spans="1:45">
      <c r="A674" s="13">
        <v>37561</v>
      </c>
      <c r="B674" s="3">
        <v>90.135499999999993</v>
      </c>
      <c r="C674" s="24">
        <v>136521</v>
      </c>
      <c r="D674" s="24">
        <v>130453</v>
      </c>
      <c r="E674" s="2">
        <v>5.9</v>
      </c>
      <c r="F674" s="33">
        <v>5.9024E-2</v>
      </c>
      <c r="G674" s="33">
        <v>5.7070000000000003E-2</v>
      </c>
      <c r="H674" s="25">
        <v>6.31</v>
      </c>
      <c r="I674" s="25">
        <v>7.62</v>
      </c>
      <c r="J674" s="25">
        <v>1.34</v>
      </c>
      <c r="K674" s="25">
        <v>1.39</v>
      </c>
      <c r="L674" s="25">
        <v>1.23</v>
      </c>
      <c r="M674" s="33">
        <v>67.599999999999994</v>
      </c>
      <c r="N674">
        <v>-3.0076000000000001</v>
      </c>
      <c r="O674" s="31">
        <v>243.04</v>
      </c>
      <c r="P674" s="38">
        <v>177.8383</v>
      </c>
      <c r="Q674" s="24"/>
      <c r="R674" s="38">
        <v>0.78834700000000002</v>
      </c>
      <c r="T674" s="2"/>
      <c r="U674" s="2"/>
      <c r="V674" s="24"/>
      <c r="W674" s="24"/>
      <c r="X674" s="24"/>
      <c r="Y674" s="24"/>
      <c r="Z674" s="24"/>
      <c r="AA674" s="24"/>
      <c r="AB674" s="24"/>
      <c r="AC674" s="25"/>
      <c r="AD674" s="25"/>
      <c r="AE674" s="25"/>
      <c r="AF674" s="25"/>
      <c r="AG674" s="25"/>
      <c r="AH674" s="10"/>
      <c r="AI674" s="25"/>
      <c r="AJ674" s="25"/>
      <c r="AL674" s="3"/>
      <c r="AN674" s="9"/>
      <c r="AO674" s="9"/>
      <c r="AP674" s="9"/>
      <c r="AQ674" s="9"/>
      <c r="AR674" s="2"/>
      <c r="AS674" s="31"/>
    </row>
    <row r="675" spans="1:45">
      <c r="A675" s="13">
        <v>37591</v>
      </c>
      <c r="B675" s="3">
        <v>89.728899999999996</v>
      </c>
      <c r="C675" s="24">
        <v>136426</v>
      </c>
      <c r="D675" s="24">
        <v>130291</v>
      </c>
      <c r="E675" s="2">
        <v>6</v>
      </c>
      <c r="F675" s="33">
        <v>-5.8833999999999997E-2</v>
      </c>
      <c r="G675" s="33">
        <v>-6.0332999999999998E-2</v>
      </c>
      <c r="H675" s="25">
        <v>6.21</v>
      </c>
      <c r="I675" s="25">
        <v>7.45</v>
      </c>
      <c r="J675" s="25">
        <v>1.24</v>
      </c>
      <c r="K675" s="25">
        <v>1.35</v>
      </c>
      <c r="L675" s="25">
        <v>1.19</v>
      </c>
      <c r="M675" s="33">
        <v>72.900000000000006</v>
      </c>
      <c r="N675">
        <v>0.28893999999999997</v>
      </c>
      <c r="O675" s="31">
        <v>248.21</v>
      </c>
      <c r="P675" s="38">
        <v>153.37119999999999</v>
      </c>
      <c r="Q675" s="24"/>
      <c r="R675" s="38">
        <v>0.67005800000000004</v>
      </c>
      <c r="T675" s="2"/>
      <c r="U675" s="2"/>
      <c r="V675" s="24"/>
      <c r="W675" s="24"/>
      <c r="X675" s="24"/>
      <c r="Y675" s="24"/>
      <c r="Z675" s="24"/>
      <c r="AA675" s="24"/>
      <c r="AB675" s="24"/>
      <c r="AC675" s="25"/>
      <c r="AD675" s="25"/>
      <c r="AE675" s="25"/>
      <c r="AF675" s="25"/>
      <c r="AG675" s="25"/>
      <c r="AH675" s="10"/>
      <c r="AI675" s="25"/>
      <c r="AJ675" s="25"/>
      <c r="AL675" s="3"/>
      <c r="AN675" s="9"/>
      <c r="AO675" s="9"/>
      <c r="AP675" s="9"/>
      <c r="AQ675" s="9"/>
      <c r="AR675" s="2"/>
      <c r="AS675" s="31"/>
    </row>
    <row r="676" spans="1:45">
      <c r="A676" s="13">
        <v>37622</v>
      </c>
      <c r="B676" s="3">
        <v>90.356399999999994</v>
      </c>
      <c r="C676" s="24">
        <v>137417</v>
      </c>
      <c r="D676" s="24">
        <v>130380</v>
      </c>
      <c r="E676" s="2">
        <v>5.8</v>
      </c>
      <c r="F676" s="33">
        <v>-2.6578999999999998E-2</v>
      </c>
      <c r="G676" s="33">
        <v>-2.7414999999999998E-2</v>
      </c>
      <c r="H676" s="25">
        <v>6.17</v>
      </c>
      <c r="I676" s="25">
        <v>7.35</v>
      </c>
      <c r="J676" s="25">
        <v>1.24</v>
      </c>
      <c r="K676" s="25">
        <v>1.29</v>
      </c>
      <c r="L676" s="25">
        <v>1.17</v>
      </c>
      <c r="M676" s="33">
        <v>86.1</v>
      </c>
      <c r="N676">
        <v>2.2346000000000002E-3</v>
      </c>
      <c r="O676" s="31">
        <v>255.85</v>
      </c>
      <c r="P676" s="38">
        <v>193.76920000000001</v>
      </c>
      <c r="Q676" s="24"/>
      <c r="R676" s="38">
        <v>0.59554600000000002</v>
      </c>
      <c r="T676" s="2"/>
      <c r="U676" s="2"/>
      <c r="V676" s="24"/>
      <c r="W676" s="24"/>
      <c r="X676" s="24"/>
      <c r="Y676" s="24"/>
      <c r="Z676" s="24"/>
      <c r="AA676" s="24"/>
      <c r="AB676" s="24"/>
      <c r="AC676" s="25"/>
      <c r="AD676" s="25"/>
      <c r="AE676" s="25"/>
      <c r="AF676" s="25"/>
      <c r="AG676" s="25"/>
      <c r="AH676" s="10"/>
      <c r="AI676" s="25"/>
      <c r="AJ676" s="25"/>
      <c r="AL676" s="3"/>
      <c r="AN676" s="9"/>
      <c r="AO676" s="9"/>
      <c r="AP676" s="9"/>
      <c r="AQ676" s="9"/>
      <c r="AR676" s="2"/>
      <c r="AS676" s="31"/>
    </row>
    <row r="677" spans="1:45">
      <c r="A677" s="13">
        <v>37653</v>
      </c>
      <c r="B677" s="3">
        <v>90.690399999999997</v>
      </c>
      <c r="C677" s="24">
        <v>137482</v>
      </c>
      <c r="D677" s="24">
        <v>130222</v>
      </c>
      <c r="E677" s="2">
        <v>5.9</v>
      </c>
      <c r="F677" s="33">
        <v>-1.5245999999999999E-2</v>
      </c>
      <c r="G677" s="33">
        <v>-1.7003999999999998E-2</v>
      </c>
      <c r="H677" s="25">
        <v>5.95</v>
      </c>
      <c r="I677" s="25">
        <v>7.06</v>
      </c>
      <c r="J677" s="25">
        <v>1.26</v>
      </c>
      <c r="K677" s="25">
        <v>1.26</v>
      </c>
      <c r="L677" s="25">
        <v>1.17</v>
      </c>
      <c r="M677" s="33">
        <v>95.2</v>
      </c>
      <c r="N677">
        <v>-0.78113999999999995</v>
      </c>
      <c r="O677" s="31">
        <v>258.89</v>
      </c>
      <c r="P677" s="38">
        <v>178.79660000000001</v>
      </c>
      <c r="Q677" s="24"/>
      <c r="R677" s="38">
        <v>0.40388000000000002</v>
      </c>
      <c r="T677" s="2"/>
      <c r="U677" s="2"/>
      <c r="V677" s="24"/>
      <c r="W677" s="24"/>
      <c r="X677" s="24"/>
      <c r="Y677" s="24"/>
      <c r="Z677" s="24"/>
      <c r="AA677" s="24"/>
      <c r="AB677" s="24"/>
      <c r="AC677" s="25"/>
      <c r="AD677" s="25"/>
      <c r="AE677" s="25"/>
      <c r="AF677" s="25"/>
      <c r="AG677" s="25"/>
      <c r="AH677" s="10"/>
      <c r="AI677" s="25"/>
      <c r="AJ677" s="25"/>
      <c r="AL677" s="3"/>
      <c r="AN677" s="9"/>
      <c r="AO677" s="9"/>
      <c r="AP677" s="9"/>
      <c r="AQ677" s="9"/>
      <c r="AR677" s="2"/>
      <c r="AS677" s="31"/>
    </row>
    <row r="678" spans="1:45">
      <c r="A678" s="13">
        <v>37681</v>
      </c>
      <c r="B678" s="3">
        <v>90.51</v>
      </c>
      <c r="C678" s="24">
        <v>137434</v>
      </c>
      <c r="D678" s="24">
        <v>130007</v>
      </c>
      <c r="E678" s="2">
        <v>5.9</v>
      </c>
      <c r="F678" s="33">
        <v>1.0307999999999999E-2</v>
      </c>
      <c r="G678" s="33">
        <v>8.3580000000000008E-3</v>
      </c>
      <c r="H678" s="25">
        <v>5.89</v>
      </c>
      <c r="I678" s="25">
        <v>6.95</v>
      </c>
      <c r="J678" s="25">
        <v>1.25</v>
      </c>
      <c r="K678" s="25">
        <v>1.21</v>
      </c>
      <c r="L678" s="25">
        <v>1.1299999999999999</v>
      </c>
      <c r="M678" s="33">
        <v>95.1</v>
      </c>
      <c r="N678">
        <v>0.21437</v>
      </c>
      <c r="O678" s="31">
        <v>260.98</v>
      </c>
      <c r="P678" s="38">
        <v>223.06299999999999</v>
      </c>
      <c r="Q678" s="24"/>
      <c r="R678" s="38">
        <v>-0.14524500000000001</v>
      </c>
      <c r="T678" s="2"/>
      <c r="U678" s="2"/>
      <c r="V678" s="24"/>
      <c r="W678" s="24"/>
      <c r="X678" s="24"/>
      <c r="Y678" s="24"/>
      <c r="Z678" s="24"/>
      <c r="AA678" s="24"/>
      <c r="AB678" s="24"/>
      <c r="AC678" s="25"/>
      <c r="AD678" s="25"/>
      <c r="AE678" s="25"/>
      <c r="AF678" s="25"/>
      <c r="AG678" s="25"/>
      <c r="AH678" s="10"/>
      <c r="AI678" s="25"/>
      <c r="AJ678" s="25"/>
      <c r="AL678" s="3"/>
      <c r="AN678" s="9"/>
      <c r="AO678" s="9"/>
      <c r="AP678" s="9"/>
      <c r="AQ678" s="9"/>
      <c r="AR678" s="2"/>
      <c r="AS678" s="31"/>
    </row>
    <row r="679" spans="1:45">
      <c r="A679" s="13">
        <v>37712</v>
      </c>
      <c r="B679" s="3">
        <v>89.769800000000004</v>
      </c>
      <c r="C679" s="24">
        <v>137633</v>
      </c>
      <c r="D679" s="24">
        <v>129956</v>
      </c>
      <c r="E679" s="2">
        <v>6</v>
      </c>
      <c r="F679" s="33">
        <v>8.2774E-2</v>
      </c>
      <c r="G679" s="33">
        <v>8.1044000000000005E-2</v>
      </c>
      <c r="H679" s="25">
        <v>5.74</v>
      </c>
      <c r="I679" s="25">
        <v>6.85</v>
      </c>
      <c r="J679" s="25">
        <v>1.26</v>
      </c>
      <c r="K679" s="25">
        <v>1.23</v>
      </c>
      <c r="L679" s="25">
        <v>1.1299999999999999</v>
      </c>
      <c r="M679" s="33">
        <v>76.099999999999994</v>
      </c>
      <c r="N679" s="25"/>
      <c r="O679" s="31">
        <v>258.79000000000002</v>
      </c>
      <c r="P679" s="38">
        <v>179.9804</v>
      </c>
      <c r="Q679" s="24"/>
      <c r="R679" s="38">
        <v>-0.13078300000000001</v>
      </c>
      <c r="T679" s="2"/>
      <c r="U679" s="2"/>
      <c r="V679" s="24"/>
      <c r="W679" s="24"/>
      <c r="X679" s="24"/>
      <c r="Y679" s="24"/>
      <c r="Z679" s="24"/>
      <c r="AA679" s="24"/>
      <c r="AB679" s="24"/>
      <c r="AC679" s="25"/>
      <c r="AD679" s="25"/>
      <c r="AE679" s="25"/>
      <c r="AF679" s="25"/>
      <c r="AG679" s="25"/>
      <c r="AH679" s="10"/>
      <c r="AI679" s="25"/>
      <c r="AJ679" s="25"/>
      <c r="AL679" s="3"/>
      <c r="AN679" s="9"/>
      <c r="AO679" s="9"/>
      <c r="AP679" s="9"/>
      <c r="AQ679" s="9"/>
      <c r="AR679" s="2"/>
      <c r="AS679" s="31"/>
    </row>
    <row r="680" spans="1:45">
      <c r="A680" s="13">
        <v>37742</v>
      </c>
      <c r="B680" s="3">
        <v>89.757499999999993</v>
      </c>
      <c r="C680" s="24">
        <v>137544</v>
      </c>
      <c r="D680" s="24">
        <v>129946</v>
      </c>
      <c r="E680" s="2">
        <v>6.1</v>
      </c>
      <c r="F680" s="33">
        <v>5.3251E-2</v>
      </c>
      <c r="G680" s="33">
        <v>5.0899E-2</v>
      </c>
      <c r="H680" s="25">
        <v>5.22</v>
      </c>
      <c r="I680" s="25">
        <v>6.38</v>
      </c>
      <c r="J680" s="25">
        <v>1.26</v>
      </c>
      <c r="K680" s="25">
        <v>1.21</v>
      </c>
      <c r="L680" s="25">
        <v>1.07</v>
      </c>
      <c r="M680" s="33">
        <v>74</v>
      </c>
      <c r="N680" s="25"/>
      <c r="O680" s="31">
        <v>257.64999999999998</v>
      </c>
      <c r="P680" s="38">
        <v>163.12970000000001</v>
      </c>
      <c r="Q680" s="24"/>
      <c r="R680" s="38">
        <v>-0.84350999999999998</v>
      </c>
      <c r="T680" s="2"/>
      <c r="U680" s="2"/>
      <c r="V680" s="24"/>
      <c r="W680" s="24"/>
      <c r="X680" s="24"/>
      <c r="Y680" s="24"/>
      <c r="Z680" s="24"/>
      <c r="AA680" s="24"/>
      <c r="AB680" s="24"/>
      <c r="AC680" s="25"/>
      <c r="AD680" s="25"/>
      <c r="AE680" s="25"/>
      <c r="AF680" s="25"/>
      <c r="AG680" s="25"/>
      <c r="AH680" s="10"/>
      <c r="AI680" s="25"/>
      <c r="AJ680" s="25"/>
      <c r="AL680" s="3"/>
      <c r="AN680" s="9"/>
      <c r="AO680" s="9"/>
      <c r="AP680" s="9"/>
      <c r="AQ680" s="9"/>
      <c r="AR680" s="2"/>
      <c r="AS680" s="31"/>
    </row>
    <row r="681" spans="1:45">
      <c r="A681" s="13">
        <v>37773</v>
      </c>
      <c r="B681" s="3">
        <v>89.765199999999993</v>
      </c>
      <c r="C681" s="24">
        <v>137790</v>
      </c>
      <c r="D681" s="24">
        <v>129943</v>
      </c>
      <c r="E681" s="2">
        <v>6.3</v>
      </c>
      <c r="F681" s="33">
        <v>1.2815999999999999E-2</v>
      </c>
      <c r="G681" s="33">
        <v>1.1322E-2</v>
      </c>
      <c r="H681" s="25">
        <v>4.97</v>
      </c>
      <c r="I681" s="25">
        <v>6.19</v>
      </c>
      <c r="J681" s="25">
        <v>1.22</v>
      </c>
      <c r="K681" s="25">
        <v>1.03</v>
      </c>
      <c r="L681" s="25">
        <v>0.92</v>
      </c>
      <c r="M681" s="33">
        <v>82.3</v>
      </c>
      <c r="N681" s="25"/>
      <c r="O681" s="31">
        <v>260.47000000000003</v>
      </c>
      <c r="P681" s="38">
        <v>139.31899999999999</v>
      </c>
      <c r="Q681" s="24"/>
      <c r="R681" s="38">
        <v>-0.55216100000000001</v>
      </c>
      <c r="T681" s="2"/>
      <c r="U681" s="2"/>
      <c r="V681" s="24"/>
      <c r="W681" s="24"/>
      <c r="X681" s="24"/>
      <c r="Y681" s="24"/>
      <c r="Z681" s="24"/>
      <c r="AA681" s="24"/>
      <c r="AB681" s="24"/>
      <c r="AC681" s="25"/>
      <c r="AD681" s="25"/>
      <c r="AE681" s="25"/>
      <c r="AF681" s="25"/>
      <c r="AG681" s="25"/>
      <c r="AH681" s="10"/>
      <c r="AI681" s="25"/>
      <c r="AJ681" s="25"/>
      <c r="AL681" s="3"/>
      <c r="AN681" s="9"/>
      <c r="AO681" s="9"/>
      <c r="AP681" s="9"/>
      <c r="AQ681" s="9"/>
      <c r="AR681" s="2"/>
      <c r="AS681" s="31"/>
    </row>
    <row r="682" spans="1:45">
      <c r="A682" s="13">
        <v>37803</v>
      </c>
      <c r="B682" s="3">
        <v>90.081699999999998</v>
      </c>
      <c r="C682" s="24">
        <v>137474</v>
      </c>
      <c r="D682" s="24">
        <v>129963</v>
      </c>
      <c r="E682" s="2">
        <v>6.2</v>
      </c>
      <c r="F682" s="33">
        <v>1.7932E-2</v>
      </c>
      <c r="G682" s="33">
        <v>1.6223999999999999E-2</v>
      </c>
      <c r="H682" s="25">
        <v>5.49</v>
      </c>
      <c r="I682" s="25">
        <v>6.62</v>
      </c>
      <c r="J682" s="25">
        <v>1.01</v>
      </c>
      <c r="K682" s="25">
        <v>1.04</v>
      </c>
      <c r="L682" s="25">
        <v>0.9</v>
      </c>
      <c r="M682" s="33">
        <v>82.4</v>
      </c>
      <c r="N682" s="25"/>
      <c r="O682" s="31">
        <v>263.77</v>
      </c>
      <c r="P682" s="38">
        <v>120.7634</v>
      </c>
      <c r="Q682" s="24"/>
      <c r="R682" s="38">
        <v>-1.3292360000000001</v>
      </c>
      <c r="T682" s="2"/>
      <c r="U682" s="2"/>
      <c r="V682" s="24"/>
      <c r="W682" s="24"/>
      <c r="X682" s="24"/>
      <c r="Y682" s="24"/>
      <c r="Z682" s="24"/>
      <c r="AA682" s="24"/>
      <c r="AB682" s="24"/>
      <c r="AC682" s="25"/>
      <c r="AD682" s="25"/>
      <c r="AE682" s="25"/>
      <c r="AF682" s="25"/>
      <c r="AG682" s="25"/>
      <c r="AH682" s="10"/>
      <c r="AI682" s="25"/>
      <c r="AJ682" s="25"/>
      <c r="AL682" s="3"/>
      <c r="AN682" s="9"/>
      <c r="AO682" s="9"/>
      <c r="AP682" s="9"/>
      <c r="AQ682" s="9"/>
      <c r="AR682" s="2"/>
      <c r="AS682" s="31"/>
    </row>
    <row r="683" spans="1:45">
      <c r="A683" s="13">
        <v>37834</v>
      </c>
      <c r="B683" s="3">
        <v>89.974299999999999</v>
      </c>
      <c r="C683" s="24">
        <v>137549</v>
      </c>
      <c r="D683" s="24">
        <v>129919</v>
      </c>
      <c r="E683" s="2">
        <v>6.1</v>
      </c>
      <c r="F683" s="33">
        <v>1.9597E-2</v>
      </c>
      <c r="G683" s="33">
        <v>1.7873E-2</v>
      </c>
      <c r="H683" s="25">
        <v>5.88</v>
      </c>
      <c r="I683" s="25">
        <v>7.01</v>
      </c>
      <c r="J683" s="25">
        <v>1.03</v>
      </c>
      <c r="K683" s="25">
        <v>1.07</v>
      </c>
      <c r="L683" s="25">
        <v>0.95</v>
      </c>
      <c r="M683" s="33">
        <v>83.8</v>
      </c>
      <c r="N683" s="25"/>
      <c r="O683" s="31">
        <v>263.99</v>
      </c>
      <c r="P683" s="38">
        <v>104.9528</v>
      </c>
      <c r="Q683" s="24"/>
      <c r="R683" s="38">
        <v>-0.22408</v>
      </c>
      <c r="T683" s="2"/>
      <c r="U683" s="2"/>
      <c r="V683" s="24"/>
      <c r="W683" s="24"/>
      <c r="X683" s="24"/>
      <c r="Y683" s="24"/>
      <c r="Z683" s="24"/>
      <c r="AA683" s="24"/>
      <c r="AB683" s="24"/>
      <c r="AC683" s="25"/>
      <c r="AD683" s="25"/>
      <c r="AE683" s="25"/>
      <c r="AF683" s="25"/>
      <c r="AG683" s="25"/>
      <c r="AH683" s="10"/>
      <c r="AI683" s="25"/>
      <c r="AJ683" s="25"/>
      <c r="AL683" s="3"/>
      <c r="AN683" s="9"/>
      <c r="AO683" s="9"/>
      <c r="AP683" s="9"/>
      <c r="AQ683" s="9"/>
      <c r="AR683" s="2"/>
      <c r="AS683" s="31"/>
    </row>
    <row r="684" spans="1:45">
      <c r="A684" s="13">
        <v>37865</v>
      </c>
      <c r="B684" s="3">
        <v>90.521299999999997</v>
      </c>
      <c r="C684" s="24">
        <v>137609</v>
      </c>
      <c r="D684" s="24">
        <v>130024</v>
      </c>
      <c r="E684" s="2">
        <v>6.1</v>
      </c>
      <c r="F684" s="33">
        <v>-1.0737E-2</v>
      </c>
      <c r="G684" s="33">
        <v>-1.1944E-2</v>
      </c>
      <c r="H684" s="25">
        <v>5.72</v>
      </c>
      <c r="I684" s="25">
        <v>6.79</v>
      </c>
      <c r="J684" s="25">
        <v>1.01</v>
      </c>
      <c r="K684" s="25">
        <v>1.08</v>
      </c>
      <c r="L684" s="25">
        <v>0.94</v>
      </c>
      <c r="M684" s="33">
        <v>75</v>
      </c>
      <c r="N684" s="25"/>
      <c r="O684" s="31">
        <v>273.24</v>
      </c>
      <c r="P684" s="38">
        <v>124.3425</v>
      </c>
      <c r="Q684" s="24"/>
      <c r="R684" s="38">
        <v>-0.69073799999999996</v>
      </c>
      <c r="T684" s="2"/>
      <c r="U684" s="2"/>
      <c r="V684" s="24"/>
      <c r="W684" s="24"/>
      <c r="X684" s="24"/>
      <c r="Y684" s="24"/>
      <c r="Z684" s="24"/>
      <c r="AA684" s="24"/>
      <c r="AB684" s="24"/>
      <c r="AC684" s="25"/>
      <c r="AD684" s="25"/>
      <c r="AE684" s="25"/>
      <c r="AF684" s="25"/>
      <c r="AG684" s="25"/>
      <c r="AH684" s="10"/>
      <c r="AI684" s="25"/>
      <c r="AJ684" s="25"/>
      <c r="AL684" s="3"/>
      <c r="AN684" s="9"/>
      <c r="AO684" s="9"/>
      <c r="AP684" s="9"/>
      <c r="AQ684" s="9"/>
      <c r="AR684" s="2"/>
      <c r="AS684" s="31"/>
    </row>
    <row r="685" spans="1:45">
      <c r="A685" s="13">
        <v>37895</v>
      </c>
      <c r="B685" s="3">
        <v>90.488399999999999</v>
      </c>
      <c r="C685" s="24">
        <v>137984</v>
      </c>
      <c r="D685" s="24">
        <v>130221</v>
      </c>
      <c r="E685" s="2">
        <v>6</v>
      </c>
      <c r="F685" s="33">
        <v>5.5559999999999998E-2</v>
      </c>
      <c r="G685" s="33">
        <v>5.4961999999999997E-2</v>
      </c>
      <c r="H685" s="25">
        <v>5.7</v>
      </c>
      <c r="I685" s="25">
        <v>6.73</v>
      </c>
      <c r="J685" s="25">
        <v>1.01</v>
      </c>
      <c r="K685" s="25">
        <v>1.0900000000000001</v>
      </c>
      <c r="L685" s="25">
        <v>0.92</v>
      </c>
      <c r="M685" s="33">
        <v>81.7</v>
      </c>
      <c r="N685" s="25"/>
      <c r="O685" s="31">
        <v>291.06</v>
      </c>
      <c r="P685" s="38">
        <v>103.798</v>
      </c>
      <c r="Q685" s="24"/>
      <c r="R685" s="38">
        <v>-0.54252299999999998</v>
      </c>
      <c r="T685" s="2"/>
      <c r="U685" s="2"/>
      <c r="V685" s="24"/>
      <c r="W685" s="24"/>
      <c r="X685" s="24"/>
      <c r="Y685" s="24"/>
      <c r="Z685" s="24"/>
      <c r="AA685" s="24"/>
      <c r="AB685" s="24"/>
      <c r="AC685" s="25"/>
      <c r="AD685" s="25"/>
      <c r="AE685" s="25"/>
      <c r="AF685" s="25"/>
      <c r="AG685" s="25"/>
      <c r="AH685" s="10"/>
      <c r="AI685" s="25"/>
      <c r="AJ685" s="25"/>
      <c r="AL685" s="3"/>
      <c r="AN685" s="9"/>
      <c r="AO685" s="9"/>
      <c r="AP685" s="9"/>
      <c r="AQ685" s="9"/>
      <c r="AR685" s="2"/>
      <c r="AS685" s="31"/>
    </row>
    <row r="686" spans="1:45">
      <c r="A686" s="13">
        <v>37926</v>
      </c>
      <c r="B686" s="3">
        <v>91.173000000000002</v>
      </c>
      <c r="C686" s="24">
        <v>138424</v>
      </c>
      <c r="D686" s="24">
        <v>130234</v>
      </c>
      <c r="E686" s="2">
        <v>5.8</v>
      </c>
      <c r="F686" s="33">
        <v>9.2599999999999991E-3</v>
      </c>
      <c r="G686" s="33">
        <v>7.1289999999999999E-3</v>
      </c>
      <c r="H686" s="25">
        <v>5.65</v>
      </c>
      <c r="I686" s="25">
        <v>6.66</v>
      </c>
      <c r="J686" s="25">
        <v>1</v>
      </c>
      <c r="K686" s="25">
        <v>1.1000000000000001</v>
      </c>
      <c r="L686" s="25">
        <v>0.93</v>
      </c>
      <c r="M686" s="33">
        <v>80.400000000000006</v>
      </c>
      <c r="N686" s="25"/>
      <c r="O686" s="31">
        <v>295.89</v>
      </c>
      <c r="P686" s="38">
        <v>127.07380000000001</v>
      </c>
      <c r="Q686" s="24"/>
      <c r="R686" s="38">
        <v>-0.54014200000000001</v>
      </c>
      <c r="T686" s="2"/>
      <c r="U686" s="2"/>
      <c r="V686" s="24"/>
      <c r="W686" s="24"/>
      <c r="X686" s="24"/>
      <c r="Y686" s="24"/>
      <c r="Z686" s="24"/>
      <c r="AA686" s="24"/>
      <c r="AB686" s="24"/>
      <c r="AC686" s="25"/>
      <c r="AD686" s="25"/>
      <c r="AE686" s="25"/>
      <c r="AF686" s="25"/>
      <c r="AG686" s="25"/>
      <c r="AH686" s="10"/>
      <c r="AI686" s="25"/>
      <c r="AJ686" s="25"/>
      <c r="AL686" s="3"/>
      <c r="AN686" s="9"/>
      <c r="AO686" s="9"/>
      <c r="AP686" s="9"/>
      <c r="AQ686" s="9"/>
      <c r="AR686" s="2"/>
      <c r="AS686" s="31"/>
    </row>
    <row r="687" spans="1:45">
      <c r="A687" s="13">
        <v>37956</v>
      </c>
      <c r="B687" s="3">
        <v>91.097899999999996</v>
      </c>
      <c r="C687" s="24">
        <v>138411</v>
      </c>
      <c r="D687" s="24">
        <v>130353</v>
      </c>
      <c r="E687" s="2">
        <v>5.7</v>
      </c>
      <c r="F687" s="33">
        <v>5.1841999999999999E-2</v>
      </c>
      <c r="G687" s="33">
        <v>5.0764999999999998E-2</v>
      </c>
      <c r="H687" s="25">
        <v>5.62</v>
      </c>
      <c r="I687" s="25">
        <v>6.6</v>
      </c>
      <c r="J687" s="25">
        <v>0.98</v>
      </c>
      <c r="K687" s="25">
        <v>1.0900000000000001</v>
      </c>
      <c r="L687" s="25">
        <v>0.9</v>
      </c>
      <c r="M687" s="33">
        <v>83.3</v>
      </c>
      <c r="N687" s="25"/>
      <c r="O687" s="31">
        <v>302.3</v>
      </c>
      <c r="P687" s="38">
        <v>120.19450000000001</v>
      </c>
      <c r="Q687" s="24"/>
      <c r="R687" s="38">
        <v>-0.492342</v>
      </c>
      <c r="T687" s="2"/>
      <c r="U687" s="2"/>
      <c r="V687" s="24"/>
      <c r="W687" s="24"/>
      <c r="X687" s="24"/>
      <c r="Y687" s="24"/>
      <c r="Z687" s="24"/>
      <c r="AA687" s="24"/>
      <c r="AB687" s="24"/>
      <c r="AC687" s="25"/>
      <c r="AD687" s="25"/>
      <c r="AE687" s="25"/>
      <c r="AF687" s="25"/>
      <c r="AG687" s="25"/>
      <c r="AH687" s="10"/>
      <c r="AI687" s="25"/>
      <c r="AJ687" s="25"/>
      <c r="AL687" s="3"/>
      <c r="AN687" s="9"/>
      <c r="AO687" s="9"/>
      <c r="AP687" s="9"/>
      <c r="AQ687" s="9"/>
      <c r="AR687" s="2"/>
      <c r="AS687" s="31"/>
    </row>
    <row r="688" spans="1:45">
      <c r="A688" s="13">
        <v>37987</v>
      </c>
      <c r="B688" s="3">
        <v>91.363600000000005</v>
      </c>
      <c r="C688" s="24">
        <v>138472</v>
      </c>
      <c r="D688" s="24">
        <v>130512</v>
      </c>
      <c r="E688" s="2">
        <v>5.7</v>
      </c>
      <c r="F688" s="33">
        <v>1.9078000000000001E-2</v>
      </c>
      <c r="G688" s="33">
        <v>1.7276E-2</v>
      </c>
      <c r="H688" s="25">
        <v>5.54</v>
      </c>
      <c r="I688" s="25">
        <v>6.44</v>
      </c>
      <c r="J688" s="25">
        <v>1</v>
      </c>
      <c r="K688" s="25">
        <v>1.05</v>
      </c>
      <c r="L688" s="25">
        <v>0.88</v>
      </c>
      <c r="M688" s="33">
        <v>90.9</v>
      </c>
      <c r="N688" s="25"/>
      <c r="O688" s="31">
        <v>312.26</v>
      </c>
      <c r="P688" s="38">
        <v>98.310329999999993</v>
      </c>
      <c r="Q688" s="24"/>
      <c r="R688" s="38">
        <v>-0.71096899999999996</v>
      </c>
      <c r="T688" s="2"/>
      <c r="U688" s="2"/>
      <c r="V688" s="24"/>
      <c r="W688" s="24"/>
      <c r="X688" s="24"/>
      <c r="Y688" s="24"/>
      <c r="Z688" s="24"/>
      <c r="AA688" s="24"/>
      <c r="AB688" s="24"/>
      <c r="AC688" s="25"/>
      <c r="AD688" s="25"/>
      <c r="AE688" s="25"/>
      <c r="AF688" s="25"/>
      <c r="AG688" s="25"/>
      <c r="AH688" s="10"/>
      <c r="AI688" s="25"/>
      <c r="AJ688" s="25"/>
      <c r="AL688" s="3"/>
      <c r="AN688" s="9"/>
      <c r="AO688" s="9"/>
      <c r="AP688" s="9"/>
      <c r="AQ688" s="9"/>
      <c r="AR688" s="2"/>
      <c r="AS688" s="31"/>
    </row>
    <row r="689" spans="1:45">
      <c r="A689" s="13">
        <v>38018</v>
      </c>
      <c r="B689" s="3">
        <v>91.880399999999995</v>
      </c>
      <c r="C689" s="24">
        <v>138542</v>
      </c>
      <c r="D689" s="24">
        <v>130555</v>
      </c>
      <c r="E689" s="2">
        <v>5.6</v>
      </c>
      <c r="F689" s="33">
        <v>1.4402999999999999E-2</v>
      </c>
      <c r="G689" s="33">
        <v>1.2208999999999999E-2</v>
      </c>
      <c r="H689" s="25">
        <v>5.5</v>
      </c>
      <c r="I689" s="25">
        <v>6.27</v>
      </c>
      <c r="J689" s="25">
        <v>1.01</v>
      </c>
      <c r="K689" s="25">
        <v>1.04</v>
      </c>
      <c r="L689" s="25">
        <v>0.93</v>
      </c>
      <c r="M689" s="33">
        <v>89.9</v>
      </c>
      <c r="N689" s="25"/>
      <c r="O689" s="31">
        <v>309.51</v>
      </c>
      <c r="P689" s="38">
        <v>138.04929999999999</v>
      </c>
      <c r="Q689" s="24"/>
      <c r="R689" s="38">
        <v>-0.28440799999999999</v>
      </c>
      <c r="T689" s="2"/>
      <c r="U689" s="2"/>
      <c r="V689" s="24"/>
      <c r="W689" s="24"/>
      <c r="X689" s="24"/>
      <c r="Y689" s="24"/>
      <c r="Z689" s="24"/>
      <c r="AA689" s="24"/>
      <c r="AB689" s="24"/>
      <c r="AC689" s="25"/>
      <c r="AD689" s="25"/>
      <c r="AE689" s="25"/>
      <c r="AF689" s="25"/>
      <c r="AG689" s="25"/>
      <c r="AH689" s="10"/>
      <c r="AI689" s="25"/>
      <c r="AJ689" s="25"/>
      <c r="AL689" s="3"/>
      <c r="AN689" s="9"/>
      <c r="AO689" s="9"/>
      <c r="AP689" s="9"/>
      <c r="AQ689" s="9"/>
      <c r="AR689" s="2"/>
      <c r="AS689" s="31"/>
    </row>
    <row r="690" spans="1:45">
      <c r="A690" s="13">
        <v>38047</v>
      </c>
      <c r="B690" s="3">
        <v>91.388000000000005</v>
      </c>
      <c r="C690" s="24">
        <v>138453</v>
      </c>
      <c r="D690" s="24">
        <v>130888</v>
      </c>
      <c r="E690" s="2">
        <v>5.8</v>
      </c>
      <c r="F690" s="33">
        <v>-1.5011E-2</v>
      </c>
      <c r="G690" s="33">
        <v>-1.6358999999999999E-2</v>
      </c>
      <c r="H690" s="25">
        <v>5.33</v>
      </c>
      <c r="I690" s="25">
        <v>6.11</v>
      </c>
      <c r="J690" s="25">
        <v>1</v>
      </c>
      <c r="K690" s="25">
        <v>1.04</v>
      </c>
      <c r="L690" s="25">
        <v>0.94</v>
      </c>
      <c r="M690" s="33">
        <v>96.6</v>
      </c>
      <c r="N690" s="25"/>
      <c r="O690" s="31">
        <v>316.77</v>
      </c>
      <c r="P690" s="38">
        <v>131.8723</v>
      </c>
      <c r="Q690" s="24"/>
      <c r="R690" s="38">
        <v>-0.53156700000000001</v>
      </c>
      <c r="T690" s="2"/>
      <c r="U690" s="2"/>
      <c r="V690" s="24"/>
      <c r="W690" s="24"/>
      <c r="X690" s="24"/>
      <c r="Y690" s="24"/>
      <c r="Z690" s="24"/>
      <c r="AA690" s="24"/>
      <c r="AB690" s="24"/>
      <c r="AC690" s="25"/>
      <c r="AD690" s="25"/>
      <c r="AE690" s="25"/>
      <c r="AF690" s="25"/>
      <c r="AG690" s="25"/>
      <c r="AH690" s="10"/>
      <c r="AI690" s="25"/>
      <c r="AJ690" s="25"/>
      <c r="AL690" s="3"/>
      <c r="AN690" s="9"/>
      <c r="AO690" s="9"/>
      <c r="AP690" s="9"/>
      <c r="AQ690" s="9"/>
      <c r="AR690" s="2"/>
      <c r="AS690" s="31"/>
    </row>
    <row r="691" spans="1:45">
      <c r="A691" s="13">
        <v>38078</v>
      </c>
      <c r="B691" s="3">
        <v>91.760300000000001</v>
      </c>
      <c r="C691" s="24">
        <v>138680</v>
      </c>
      <c r="D691" s="24">
        <v>131135</v>
      </c>
      <c r="E691" s="2">
        <v>5.6</v>
      </c>
      <c r="F691" s="33">
        <v>-1.5584000000000001E-2</v>
      </c>
      <c r="G691" s="33">
        <v>-1.6791E-2</v>
      </c>
      <c r="H691" s="25">
        <v>5.73</v>
      </c>
      <c r="I691" s="25">
        <v>6.46</v>
      </c>
      <c r="J691" s="25">
        <v>1</v>
      </c>
      <c r="K691" s="25">
        <v>1.07</v>
      </c>
      <c r="L691" s="25">
        <v>0.94</v>
      </c>
      <c r="M691" s="33">
        <v>98.4</v>
      </c>
      <c r="N691" s="25"/>
      <c r="O691" s="31">
        <v>318.52999999999997</v>
      </c>
      <c r="P691" s="38">
        <v>131.40989999999999</v>
      </c>
      <c r="Q691" s="24"/>
      <c r="R691" s="38">
        <v>-0.74382499999999996</v>
      </c>
      <c r="T691" s="2"/>
      <c r="U691" s="2"/>
      <c r="V691" s="24"/>
      <c r="W691" s="24"/>
      <c r="X691" s="24"/>
      <c r="Y691" s="24"/>
      <c r="Z691" s="24"/>
      <c r="AA691" s="24"/>
      <c r="AB691" s="24"/>
      <c r="AC691" s="25"/>
      <c r="AD691" s="25"/>
      <c r="AE691" s="25"/>
      <c r="AF691" s="25"/>
      <c r="AG691" s="25"/>
      <c r="AH691" s="10"/>
      <c r="AI691" s="25"/>
      <c r="AJ691" s="25"/>
      <c r="AL691" s="3"/>
      <c r="AN691" s="9"/>
      <c r="AO691" s="9"/>
      <c r="AP691" s="9"/>
      <c r="AQ691" s="9"/>
      <c r="AR691" s="2"/>
      <c r="AS691" s="31"/>
    </row>
    <row r="692" spans="1:45">
      <c r="A692" s="13">
        <v>38108</v>
      </c>
      <c r="B692" s="3">
        <v>92.427199999999999</v>
      </c>
      <c r="C692" s="24">
        <v>138852</v>
      </c>
      <c r="D692" s="24">
        <v>131441</v>
      </c>
      <c r="E692" s="2">
        <v>5.6</v>
      </c>
      <c r="F692" s="33">
        <v>1.3710999999999999E-2</v>
      </c>
      <c r="G692" s="33">
        <v>1.2083E-2</v>
      </c>
      <c r="H692" s="25">
        <v>6.04</v>
      </c>
      <c r="I692" s="25">
        <v>6.75</v>
      </c>
      <c r="J692" s="25">
        <v>1</v>
      </c>
      <c r="K692" s="25">
        <v>1.18</v>
      </c>
      <c r="L692" s="25">
        <v>1.02</v>
      </c>
      <c r="M692" s="33">
        <v>106.5</v>
      </c>
      <c r="N692" s="25"/>
      <c r="O692" s="31">
        <v>312.91000000000003</v>
      </c>
      <c r="P692" s="38">
        <v>124.22320000000001</v>
      </c>
      <c r="Q692" s="24"/>
      <c r="R692" s="38">
        <v>-0.326067</v>
      </c>
      <c r="T692" s="2"/>
      <c r="U692" s="2"/>
      <c r="V692" s="24"/>
      <c r="W692" s="24"/>
      <c r="X692" s="24"/>
      <c r="Y692" s="24"/>
      <c r="Z692" s="24"/>
      <c r="AA692" s="24"/>
      <c r="AB692" s="24"/>
      <c r="AC692" s="25"/>
      <c r="AD692" s="25"/>
      <c r="AE692" s="25"/>
      <c r="AF692" s="25"/>
      <c r="AG692" s="25"/>
      <c r="AH692" s="10"/>
      <c r="AI692" s="25"/>
      <c r="AJ692" s="25"/>
      <c r="AL692" s="3"/>
      <c r="AN692" s="9"/>
      <c r="AO692" s="9"/>
      <c r="AP692" s="9"/>
      <c r="AQ692" s="9"/>
      <c r="AR692" s="2"/>
      <c r="AS692" s="31"/>
    </row>
    <row r="693" spans="1:45">
      <c r="A693" s="13">
        <v>38139</v>
      </c>
      <c r="B693" s="3">
        <v>91.695800000000006</v>
      </c>
      <c r="C693" s="24">
        <v>139174</v>
      </c>
      <c r="D693" s="24">
        <v>131519</v>
      </c>
      <c r="E693" s="2">
        <v>5.6</v>
      </c>
      <c r="F693" s="33">
        <v>1.949E-2</v>
      </c>
      <c r="G693" s="33">
        <v>1.7989000000000002E-2</v>
      </c>
      <c r="H693" s="25">
        <v>6.01</v>
      </c>
      <c r="I693" s="25">
        <v>6.78</v>
      </c>
      <c r="J693" s="25">
        <v>1.03</v>
      </c>
      <c r="K693" s="25">
        <v>1.43</v>
      </c>
      <c r="L693" s="25">
        <v>1.27</v>
      </c>
      <c r="M693" s="33">
        <v>99.2</v>
      </c>
      <c r="N693" s="25"/>
      <c r="O693" s="31">
        <v>308.39</v>
      </c>
      <c r="P693" s="38">
        <v>143.58410000000001</v>
      </c>
      <c r="Q693" s="24"/>
      <c r="R693" s="38">
        <v>-0.33500600000000003</v>
      </c>
      <c r="T693" s="2"/>
      <c r="U693" s="2"/>
      <c r="V693" s="24"/>
      <c r="W693" s="24"/>
      <c r="X693" s="24"/>
      <c r="Y693" s="24"/>
      <c r="Z693" s="24"/>
      <c r="AA693" s="24"/>
      <c r="AB693" s="24"/>
      <c r="AC693" s="25"/>
      <c r="AD693" s="25"/>
      <c r="AE693" s="25"/>
      <c r="AF693" s="25"/>
      <c r="AG693" s="25"/>
      <c r="AH693" s="10"/>
      <c r="AI693" s="25"/>
      <c r="AJ693" s="25"/>
      <c r="AL693" s="3"/>
      <c r="AN693" s="9"/>
      <c r="AO693" s="9"/>
      <c r="AP693" s="9"/>
      <c r="AQ693" s="9"/>
      <c r="AR693" s="2"/>
      <c r="AS693" s="31"/>
    </row>
    <row r="694" spans="1:45">
      <c r="A694" s="13">
        <v>38169</v>
      </c>
      <c r="B694" s="3">
        <v>92.414100000000005</v>
      </c>
      <c r="C694" s="24">
        <v>139556</v>
      </c>
      <c r="D694" s="24">
        <v>131556</v>
      </c>
      <c r="E694" s="2">
        <v>5.5</v>
      </c>
      <c r="F694" s="33">
        <v>-3.2932000000000003E-2</v>
      </c>
      <c r="G694" s="33">
        <v>-3.4291000000000002E-2</v>
      </c>
      <c r="H694" s="25">
        <v>5.82</v>
      </c>
      <c r="I694" s="25">
        <v>6.62</v>
      </c>
      <c r="J694" s="25">
        <v>1.26</v>
      </c>
      <c r="K694" s="25">
        <v>1.55</v>
      </c>
      <c r="L694" s="25">
        <v>1.33</v>
      </c>
      <c r="M694" s="33">
        <v>105.5</v>
      </c>
      <c r="N694" s="25"/>
      <c r="O694" s="31">
        <v>308.94</v>
      </c>
      <c r="P694" s="38">
        <v>122.9212</v>
      </c>
      <c r="Q694" s="24"/>
      <c r="R694" s="38">
        <v>-0.30671799999999999</v>
      </c>
      <c r="T694" s="2"/>
      <c r="U694" s="2"/>
      <c r="V694" s="24"/>
      <c r="W694" s="24"/>
      <c r="X694" s="24"/>
      <c r="Y694" s="24"/>
      <c r="Z694" s="24"/>
      <c r="AA694" s="24"/>
      <c r="AB694" s="24"/>
      <c r="AC694" s="25"/>
      <c r="AD694" s="25"/>
      <c r="AE694" s="25"/>
      <c r="AF694" s="25"/>
      <c r="AG694" s="25"/>
      <c r="AH694" s="10"/>
      <c r="AI694" s="25"/>
      <c r="AJ694" s="25"/>
      <c r="AL694" s="3"/>
      <c r="AN694" s="9"/>
      <c r="AO694" s="9"/>
      <c r="AP694" s="9"/>
      <c r="AQ694" s="9"/>
      <c r="AR694" s="2"/>
      <c r="AS694" s="31"/>
    </row>
    <row r="695" spans="1:45">
      <c r="A695" s="13">
        <v>38200</v>
      </c>
      <c r="B695" s="3">
        <v>92.578299999999999</v>
      </c>
      <c r="C695" s="24">
        <v>139573</v>
      </c>
      <c r="D695" s="24">
        <v>131681</v>
      </c>
      <c r="E695" s="2">
        <v>5.4</v>
      </c>
      <c r="F695" s="33">
        <v>3.8070000000000001E-3</v>
      </c>
      <c r="G695" s="33">
        <v>2.287E-3</v>
      </c>
      <c r="H695" s="25">
        <v>5.65</v>
      </c>
      <c r="I695" s="25">
        <v>6.46</v>
      </c>
      <c r="J695" s="25">
        <v>1.43</v>
      </c>
      <c r="K695" s="25">
        <v>1.66</v>
      </c>
      <c r="L695" s="25">
        <v>1.48</v>
      </c>
      <c r="M695" s="33">
        <v>119.3</v>
      </c>
      <c r="N695" s="25"/>
      <c r="O695" s="31">
        <v>307.75</v>
      </c>
      <c r="P695" s="38">
        <v>131.53749999999999</v>
      </c>
      <c r="Q695" s="24"/>
      <c r="R695" s="38">
        <v>-0.45991900000000002</v>
      </c>
      <c r="T695" s="2"/>
      <c r="U695" s="2"/>
      <c r="V695" s="24"/>
      <c r="W695" s="24"/>
      <c r="X695" s="24"/>
      <c r="Y695" s="24"/>
      <c r="Z695" s="24"/>
      <c r="AA695" s="24"/>
      <c r="AB695" s="24"/>
      <c r="AC695" s="25"/>
      <c r="AD695" s="25"/>
      <c r="AE695" s="25"/>
      <c r="AF695" s="25"/>
      <c r="AG695" s="25"/>
      <c r="AH695" s="10"/>
      <c r="AI695" s="25"/>
      <c r="AJ695" s="25"/>
      <c r="AL695" s="3"/>
      <c r="AN695" s="9"/>
      <c r="AO695" s="9"/>
      <c r="AP695" s="9"/>
      <c r="AQ695" s="9"/>
      <c r="AR695" s="2"/>
      <c r="AS695" s="31"/>
    </row>
    <row r="696" spans="1:45">
      <c r="A696" s="13">
        <v>38231</v>
      </c>
      <c r="B696" s="3">
        <v>92.615600000000001</v>
      </c>
      <c r="C696" s="24">
        <v>139487</v>
      </c>
      <c r="D696" s="24">
        <v>131836</v>
      </c>
      <c r="E696" s="2">
        <v>5.4</v>
      </c>
      <c r="F696" s="33">
        <v>1.0817E-2</v>
      </c>
      <c r="G696" s="33">
        <v>9.3640000000000008E-3</v>
      </c>
      <c r="H696" s="25">
        <v>5.46</v>
      </c>
      <c r="I696" s="25">
        <v>6.27</v>
      </c>
      <c r="J696" s="25">
        <v>1.61</v>
      </c>
      <c r="K696" s="25">
        <v>1.84</v>
      </c>
      <c r="L696" s="25">
        <v>1.65</v>
      </c>
      <c r="M696" s="33">
        <v>118.3</v>
      </c>
      <c r="N696" s="25"/>
      <c r="O696" s="31">
        <v>315.38</v>
      </c>
      <c r="P696" s="38">
        <v>134.49520000000001</v>
      </c>
      <c r="Q696" s="24"/>
      <c r="R696" s="38">
        <v>-0.59773799999999999</v>
      </c>
      <c r="T696" s="2"/>
      <c r="U696" s="2"/>
      <c r="V696" s="24"/>
      <c r="W696" s="24"/>
      <c r="X696" s="24"/>
      <c r="Y696" s="24"/>
      <c r="Z696" s="24"/>
      <c r="AA696" s="24"/>
      <c r="AB696" s="24"/>
      <c r="AC696" s="25"/>
      <c r="AD696" s="25"/>
      <c r="AE696" s="25"/>
      <c r="AF696" s="25"/>
      <c r="AG696" s="25"/>
      <c r="AH696" s="10"/>
      <c r="AI696" s="25"/>
      <c r="AJ696" s="25"/>
      <c r="AL696" s="3"/>
      <c r="AN696" s="9"/>
      <c r="AO696" s="9"/>
      <c r="AP696" s="9"/>
      <c r="AQ696" s="9"/>
      <c r="AR696" s="2"/>
      <c r="AS696" s="31"/>
    </row>
    <row r="697" spans="1:45">
      <c r="A697" s="13">
        <v>38261</v>
      </c>
      <c r="B697" s="3">
        <v>93.5</v>
      </c>
      <c r="C697" s="24">
        <v>139732</v>
      </c>
      <c r="D697" s="24">
        <v>132179</v>
      </c>
      <c r="E697" s="2">
        <v>5.5</v>
      </c>
      <c r="F697" s="33">
        <v>1.4973E-2</v>
      </c>
      <c r="G697" s="33">
        <v>1.4014E-2</v>
      </c>
      <c r="H697" s="25">
        <v>5.47</v>
      </c>
      <c r="I697" s="25">
        <v>6.21</v>
      </c>
      <c r="J697" s="25">
        <v>1.76</v>
      </c>
      <c r="K697" s="25">
        <v>2.02</v>
      </c>
      <c r="L697" s="25">
        <v>1.76</v>
      </c>
      <c r="M697" s="33">
        <v>139.9</v>
      </c>
      <c r="N697" s="25"/>
      <c r="O697" s="31">
        <v>315.13</v>
      </c>
      <c r="P697" s="38">
        <v>142.07859999999999</v>
      </c>
      <c r="Q697" s="24"/>
      <c r="R697" s="38">
        <v>-0.57346200000000003</v>
      </c>
      <c r="T697" s="2"/>
      <c r="U697" s="2"/>
      <c r="V697" s="24"/>
      <c r="W697" s="24"/>
      <c r="X697" s="24"/>
      <c r="Y697" s="24"/>
      <c r="Z697" s="24"/>
      <c r="AA697" s="24"/>
      <c r="AB697" s="24"/>
      <c r="AC697" s="25"/>
      <c r="AD697" s="25"/>
      <c r="AE697" s="25"/>
      <c r="AF697" s="25"/>
      <c r="AG697" s="25"/>
      <c r="AH697" s="10"/>
      <c r="AI697" s="25"/>
      <c r="AJ697" s="25"/>
      <c r="AL697" s="3"/>
      <c r="AN697" s="9"/>
      <c r="AO697" s="9"/>
      <c r="AP697" s="9"/>
      <c r="AQ697" s="9"/>
      <c r="AR697" s="2"/>
      <c r="AS697" s="31"/>
    </row>
    <row r="698" spans="1:45">
      <c r="A698" s="13">
        <v>38292</v>
      </c>
      <c r="B698" s="3">
        <v>93.686599999999999</v>
      </c>
      <c r="C698" s="24">
        <v>140231</v>
      </c>
      <c r="D698" s="24">
        <v>132244</v>
      </c>
      <c r="E698" s="2">
        <v>5.4</v>
      </c>
      <c r="F698" s="33">
        <v>4.0563000000000002E-2</v>
      </c>
      <c r="G698" s="33">
        <v>3.8594999999999997E-2</v>
      </c>
      <c r="H698" s="25">
        <v>5.52</v>
      </c>
      <c r="I698" s="25">
        <v>6.2</v>
      </c>
      <c r="J698" s="25">
        <v>1.93</v>
      </c>
      <c r="K698" s="25">
        <v>2.23</v>
      </c>
      <c r="L698" s="25">
        <v>2.0699999999999998</v>
      </c>
      <c r="M698" s="33">
        <v>125</v>
      </c>
      <c r="N698" s="25"/>
      <c r="O698" s="31">
        <v>320.52</v>
      </c>
      <c r="P698" s="38">
        <v>140.54589999999999</v>
      </c>
      <c r="Q698" s="24"/>
      <c r="R698" s="38">
        <v>-0.70161399999999996</v>
      </c>
      <c r="T698" s="2"/>
      <c r="U698" s="2"/>
      <c r="V698" s="24"/>
      <c r="W698" s="24"/>
      <c r="X698" s="24"/>
      <c r="Y698" s="24"/>
      <c r="Z698" s="24"/>
      <c r="AA698" s="24"/>
      <c r="AB698" s="24"/>
      <c r="AC698" s="25"/>
      <c r="AD698" s="25"/>
      <c r="AE698" s="25"/>
      <c r="AF698" s="25"/>
      <c r="AG698" s="25"/>
      <c r="AH698" s="10"/>
      <c r="AI698" s="25"/>
      <c r="AJ698" s="25"/>
      <c r="AL698" s="3"/>
      <c r="AN698" s="9"/>
      <c r="AO698" s="9"/>
      <c r="AP698" s="9"/>
      <c r="AQ698" s="9"/>
      <c r="AR698" s="2"/>
      <c r="AS698" s="31"/>
    </row>
    <row r="699" spans="1:45">
      <c r="A699" s="13">
        <v>38322</v>
      </c>
      <c r="B699" s="3">
        <v>94.319500000000005</v>
      </c>
      <c r="C699" s="24">
        <v>140125</v>
      </c>
      <c r="D699" s="24">
        <v>132372</v>
      </c>
      <c r="E699" s="2">
        <v>5.4</v>
      </c>
      <c r="F699" s="33">
        <v>3.3734E-2</v>
      </c>
      <c r="G699" s="33">
        <v>3.2458000000000001E-2</v>
      </c>
      <c r="H699" s="25">
        <v>5.47</v>
      </c>
      <c r="I699" s="25">
        <v>6.15</v>
      </c>
      <c r="J699" s="25">
        <v>2.16</v>
      </c>
      <c r="K699" s="25">
        <v>2.4300000000000002</v>
      </c>
      <c r="L699" s="25">
        <v>2.19</v>
      </c>
      <c r="M699" s="33">
        <v>108.7</v>
      </c>
      <c r="N699" s="25"/>
      <c r="O699" s="31">
        <v>322.66000000000003</v>
      </c>
      <c r="P699" s="38">
        <v>118.45480000000001</v>
      </c>
      <c r="Q699" s="24"/>
      <c r="R699" s="38">
        <v>-0.85343800000000003</v>
      </c>
      <c r="T699" s="2"/>
      <c r="U699" s="2"/>
      <c r="V699" s="24"/>
      <c r="W699" s="24"/>
      <c r="X699" s="24"/>
      <c r="Y699" s="24"/>
      <c r="Z699" s="24"/>
      <c r="AA699" s="24"/>
      <c r="AB699" s="24"/>
      <c r="AC699" s="25"/>
      <c r="AD699" s="25"/>
      <c r="AE699" s="25"/>
      <c r="AF699" s="25"/>
      <c r="AG699" s="25"/>
      <c r="AH699" s="10"/>
      <c r="AI699" s="25"/>
      <c r="AJ699" s="25"/>
      <c r="AL699" s="3"/>
      <c r="AN699" s="9"/>
      <c r="AO699" s="9"/>
      <c r="AP699" s="9"/>
      <c r="AQ699" s="9"/>
      <c r="AR699" s="2"/>
      <c r="AS699" s="31"/>
    </row>
    <row r="700" spans="1:45">
      <c r="A700" s="13">
        <v>38353</v>
      </c>
      <c r="B700" s="3">
        <v>94.707499999999996</v>
      </c>
      <c r="C700" s="24">
        <v>140245</v>
      </c>
      <c r="D700" s="24">
        <v>132502</v>
      </c>
      <c r="E700" s="2">
        <v>5.3</v>
      </c>
      <c r="F700" s="33">
        <v>-2.3824000000000001E-2</v>
      </c>
      <c r="G700" s="33">
        <v>-2.529E-2</v>
      </c>
      <c r="H700" s="25">
        <v>5.36</v>
      </c>
      <c r="I700" s="25">
        <v>6.02</v>
      </c>
      <c r="J700" s="25">
        <v>2.2799999999999998</v>
      </c>
      <c r="K700" s="25">
        <v>2.6</v>
      </c>
      <c r="L700" s="25">
        <v>2.33</v>
      </c>
      <c r="M700" s="33">
        <v>119.6</v>
      </c>
      <c r="N700" s="25"/>
      <c r="O700" s="31">
        <v>320.95</v>
      </c>
      <c r="P700" s="38">
        <v>117.9075</v>
      </c>
      <c r="Q700" s="24"/>
      <c r="R700" s="38">
        <v>-0.80579000000000001</v>
      </c>
      <c r="T700" s="2"/>
      <c r="U700" s="2"/>
      <c r="V700" s="24"/>
      <c r="W700" s="24"/>
      <c r="X700" s="24"/>
      <c r="Y700" s="24"/>
      <c r="Z700" s="24"/>
      <c r="AA700" s="24"/>
      <c r="AB700" s="24"/>
      <c r="AC700" s="25"/>
      <c r="AD700" s="25"/>
      <c r="AE700" s="25"/>
      <c r="AF700" s="25"/>
      <c r="AG700" s="25"/>
      <c r="AH700" s="10"/>
      <c r="AI700" s="25"/>
      <c r="AJ700" s="25"/>
      <c r="AL700" s="3"/>
      <c r="AN700" s="9"/>
      <c r="AO700" s="9"/>
      <c r="AP700" s="9"/>
      <c r="AQ700" s="9"/>
      <c r="AR700" s="2"/>
      <c r="AS700" s="31"/>
    </row>
    <row r="701" spans="1:45">
      <c r="A701" s="13">
        <v>38384</v>
      </c>
      <c r="B701" s="3">
        <v>95.301500000000004</v>
      </c>
      <c r="C701" s="24">
        <v>140385</v>
      </c>
      <c r="D701" s="24">
        <v>132742</v>
      </c>
      <c r="E701" s="2">
        <v>5.4</v>
      </c>
      <c r="F701" s="33">
        <v>2.1151E-2</v>
      </c>
      <c r="G701" s="33">
        <v>1.8903E-2</v>
      </c>
      <c r="H701" s="25">
        <v>5.2</v>
      </c>
      <c r="I701" s="25">
        <v>5.82</v>
      </c>
      <c r="J701" s="25">
        <v>2.5</v>
      </c>
      <c r="K701" s="25">
        <v>2.75</v>
      </c>
      <c r="L701" s="25">
        <v>2.54</v>
      </c>
      <c r="M701" s="33">
        <v>123.9</v>
      </c>
      <c r="N701" s="25"/>
      <c r="O701" s="31">
        <v>324.61</v>
      </c>
      <c r="P701" s="38">
        <v>81.384389999999996</v>
      </c>
      <c r="Q701" s="24"/>
      <c r="R701" s="38">
        <v>-1.093032</v>
      </c>
      <c r="T701" s="2"/>
      <c r="U701" s="2"/>
      <c r="V701" s="24"/>
      <c r="W701" s="24"/>
      <c r="X701" s="24"/>
      <c r="Y701" s="24"/>
      <c r="Z701" s="24"/>
      <c r="AA701" s="24"/>
      <c r="AB701" s="24"/>
      <c r="AC701" s="25"/>
      <c r="AD701" s="25"/>
      <c r="AE701" s="25"/>
      <c r="AF701" s="25"/>
      <c r="AG701" s="25"/>
      <c r="AH701" s="10"/>
      <c r="AI701" s="25"/>
      <c r="AJ701" s="25"/>
      <c r="AL701" s="3"/>
      <c r="AN701" s="9"/>
      <c r="AO701" s="9"/>
      <c r="AP701" s="9"/>
      <c r="AQ701" s="9"/>
      <c r="AR701" s="2"/>
      <c r="AS701" s="31"/>
    </row>
    <row r="702" spans="1:45">
      <c r="A702" s="13">
        <v>38412</v>
      </c>
      <c r="B702" s="3">
        <v>95.2423</v>
      </c>
      <c r="C702" s="24">
        <v>140654</v>
      </c>
      <c r="D702" s="24">
        <v>132877</v>
      </c>
      <c r="E702" s="2">
        <v>5.2</v>
      </c>
      <c r="F702" s="33">
        <v>-1.7239999999999998E-2</v>
      </c>
      <c r="G702" s="33">
        <v>-1.9118E-2</v>
      </c>
      <c r="H702" s="25">
        <v>5.4</v>
      </c>
      <c r="I702" s="25">
        <v>6.06</v>
      </c>
      <c r="J702" s="25">
        <v>2.63</v>
      </c>
      <c r="K702" s="25">
        <v>2.95</v>
      </c>
      <c r="L702" s="25">
        <v>2.74</v>
      </c>
      <c r="M702" s="33">
        <v>145</v>
      </c>
      <c r="N702" s="25"/>
      <c r="O702" s="31">
        <v>333.23</v>
      </c>
      <c r="P702" s="38">
        <v>92.627690000000001</v>
      </c>
      <c r="Q702" s="24"/>
      <c r="R702" s="38">
        <v>-0.73238800000000004</v>
      </c>
      <c r="T702" s="2"/>
      <c r="U702" s="2"/>
      <c r="V702" s="24"/>
      <c r="W702" s="24"/>
      <c r="X702" s="24"/>
      <c r="Y702" s="24"/>
      <c r="Z702" s="24"/>
      <c r="AA702" s="24"/>
      <c r="AB702" s="24"/>
      <c r="AC702" s="25"/>
      <c r="AD702" s="25"/>
      <c r="AE702" s="25"/>
      <c r="AF702" s="25"/>
      <c r="AG702" s="25"/>
      <c r="AH702" s="10"/>
      <c r="AI702" s="25"/>
      <c r="AJ702" s="25"/>
      <c r="AL702" s="3"/>
      <c r="AN702" s="9"/>
      <c r="AO702" s="9"/>
      <c r="AP702" s="9"/>
      <c r="AQ702" s="9"/>
      <c r="AR702" s="2"/>
      <c r="AS702" s="31"/>
    </row>
    <row r="703" spans="1:45">
      <c r="A703" s="13">
        <v>38443</v>
      </c>
      <c r="B703" s="3">
        <v>95.325999999999993</v>
      </c>
      <c r="C703" s="24">
        <v>141254</v>
      </c>
      <c r="D703" s="24">
        <v>133239</v>
      </c>
      <c r="E703" s="2">
        <v>5.2</v>
      </c>
      <c r="F703" s="33">
        <v>-1.8925999999999998E-2</v>
      </c>
      <c r="G703" s="33">
        <v>-2.0108999999999998E-2</v>
      </c>
      <c r="H703" s="25">
        <v>5.33</v>
      </c>
      <c r="I703" s="25">
        <v>6.05</v>
      </c>
      <c r="J703" s="25">
        <v>2.79</v>
      </c>
      <c r="K703" s="25">
        <v>3.08</v>
      </c>
      <c r="L703" s="25">
        <v>2.78</v>
      </c>
      <c r="M703" s="33">
        <v>137.5</v>
      </c>
      <c r="N703" s="25"/>
      <c r="O703" s="31">
        <v>336.73</v>
      </c>
      <c r="P703" s="38">
        <v>108.96040000000001</v>
      </c>
      <c r="Q703" s="24"/>
      <c r="R703" s="38">
        <v>-0.53381900000000004</v>
      </c>
      <c r="T703" s="2"/>
      <c r="U703" s="2"/>
      <c r="V703" s="24"/>
      <c r="W703" s="24"/>
      <c r="X703" s="24"/>
      <c r="Y703" s="24"/>
      <c r="Z703" s="24"/>
      <c r="AA703" s="24"/>
      <c r="AB703" s="24"/>
      <c r="AC703" s="25"/>
      <c r="AD703" s="25"/>
      <c r="AE703" s="25"/>
      <c r="AF703" s="25"/>
      <c r="AG703" s="25"/>
      <c r="AH703" s="10"/>
      <c r="AI703" s="25"/>
      <c r="AJ703" s="25"/>
      <c r="AL703" s="3"/>
      <c r="AN703" s="9"/>
      <c r="AO703" s="9"/>
      <c r="AP703" s="9"/>
      <c r="AQ703" s="9"/>
      <c r="AR703" s="2"/>
      <c r="AS703" s="31"/>
    </row>
    <row r="704" spans="1:45">
      <c r="A704" s="13">
        <v>38473</v>
      </c>
      <c r="B704" s="3">
        <v>95.5</v>
      </c>
      <c r="C704" s="24">
        <v>141609</v>
      </c>
      <c r="D704" s="24">
        <v>133407</v>
      </c>
      <c r="E704" s="2">
        <v>5.0999999999999996</v>
      </c>
      <c r="F704" s="33">
        <v>3.1994000000000002E-2</v>
      </c>
      <c r="G704" s="33">
        <v>2.9951999999999999E-2</v>
      </c>
      <c r="H704" s="25">
        <v>5.15</v>
      </c>
      <c r="I704" s="25">
        <v>6.01</v>
      </c>
      <c r="J704" s="25">
        <v>3</v>
      </c>
      <c r="K704" s="25">
        <v>3.2</v>
      </c>
      <c r="L704" s="25">
        <v>2.84</v>
      </c>
      <c r="M704" s="33">
        <v>135.19999999999999</v>
      </c>
      <c r="N704" s="25"/>
      <c r="O704" s="31">
        <v>331.96</v>
      </c>
      <c r="P704" s="38">
        <v>121.3274</v>
      </c>
      <c r="Q704" s="24"/>
      <c r="R704" s="38">
        <v>-0.38416400000000001</v>
      </c>
      <c r="T704" s="2"/>
      <c r="U704" s="2"/>
      <c r="V704" s="24"/>
      <c r="W704" s="24"/>
      <c r="X704" s="24"/>
      <c r="Y704" s="24"/>
      <c r="Z704" s="24"/>
      <c r="AA704" s="24"/>
      <c r="AB704" s="24"/>
      <c r="AC704" s="25"/>
      <c r="AD704" s="25"/>
      <c r="AE704" s="25"/>
      <c r="AF704" s="25"/>
      <c r="AG704" s="25"/>
      <c r="AH704" s="10"/>
      <c r="AI704" s="25"/>
      <c r="AJ704" s="25"/>
      <c r="AL704" s="3"/>
      <c r="AN704" s="9"/>
      <c r="AO704" s="9"/>
      <c r="AP704" s="9"/>
      <c r="AQ704" s="9"/>
      <c r="AR704" s="2"/>
      <c r="AS704" s="31"/>
    </row>
    <row r="705" spans="1:45">
      <c r="A705" s="13">
        <v>38504</v>
      </c>
      <c r="B705" s="3">
        <v>95.9</v>
      </c>
      <c r="C705" s="24">
        <v>141714</v>
      </c>
      <c r="D705" s="24">
        <v>133653</v>
      </c>
      <c r="E705" s="2">
        <v>5</v>
      </c>
      <c r="F705" s="33">
        <v>1.717E-3</v>
      </c>
      <c r="G705" s="33">
        <v>-1.4300000000000001E-4</v>
      </c>
      <c r="H705" s="25">
        <v>4.96</v>
      </c>
      <c r="I705" s="25">
        <v>5.86</v>
      </c>
      <c r="J705" s="25">
        <v>3.04</v>
      </c>
      <c r="K705" s="25">
        <v>3.36</v>
      </c>
      <c r="L705" s="25">
        <v>2.97</v>
      </c>
      <c r="M705" s="33">
        <v>147.6</v>
      </c>
      <c r="N705" s="25"/>
      <c r="O705" s="31">
        <v>331.87</v>
      </c>
      <c r="P705" s="38">
        <v>131.5085</v>
      </c>
      <c r="Q705" s="24"/>
      <c r="R705" s="38">
        <v>-0.56229399999999996</v>
      </c>
      <c r="T705" s="2"/>
      <c r="U705" s="2"/>
      <c r="V705" s="24"/>
      <c r="W705" s="24"/>
      <c r="X705" s="24"/>
      <c r="Y705" s="24"/>
      <c r="Z705" s="24"/>
      <c r="AA705" s="24"/>
      <c r="AB705" s="24"/>
      <c r="AC705" s="25"/>
      <c r="AD705" s="25"/>
      <c r="AE705" s="25"/>
      <c r="AF705" s="25"/>
      <c r="AG705" s="25"/>
      <c r="AH705" s="10"/>
      <c r="AI705" s="25"/>
      <c r="AJ705" s="25"/>
      <c r="AL705" s="3"/>
      <c r="AN705" s="9"/>
      <c r="AO705" s="9"/>
      <c r="AP705" s="9"/>
      <c r="AQ705" s="9"/>
      <c r="AR705" s="2"/>
      <c r="AS705" s="31"/>
    </row>
    <row r="706" spans="1:45">
      <c r="A706" s="13">
        <v>38534</v>
      </c>
      <c r="B706" s="3">
        <v>95.7684</v>
      </c>
      <c r="C706" s="24">
        <v>142026</v>
      </c>
      <c r="D706" s="24">
        <v>134025</v>
      </c>
      <c r="E706" s="2">
        <v>5</v>
      </c>
      <c r="F706" s="33">
        <v>3.7373999999999998E-2</v>
      </c>
      <c r="G706" s="33">
        <v>3.5968E-2</v>
      </c>
      <c r="H706" s="25">
        <v>5.0599999999999996</v>
      </c>
      <c r="I706" s="25">
        <v>5.95</v>
      </c>
      <c r="J706" s="25">
        <v>3.26</v>
      </c>
      <c r="K706" s="25">
        <v>3.55</v>
      </c>
      <c r="L706" s="25">
        <v>3.22</v>
      </c>
      <c r="M706" s="33">
        <v>161.69999999999999</v>
      </c>
      <c r="N706" s="25"/>
      <c r="O706" s="31">
        <v>325.29000000000002</v>
      </c>
      <c r="P706" s="38">
        <v>113.6058</v>
      </c>
      <c r="Q706" s="24"/>
      <c r="R706" s="38">
        <v>-0.65285199999999999</v>
      </c>
      <c r="T706" s="2"/>
      <c r="U706" s="2"/>
      <c r="V706" s="24"/>
      <c r="W706" s="24"/>
      <c r="X706" s="24"/>
      <c r="Y706" s="24"/>
      <c r="Z706" s="24"/>
      <c r="AA706" s="24"/>
      <c r="AB706" s="24"/>
      <c r="AC706" s="25"/>
      <c r="AD706" s="25"/>
      <c r="AE706" s="25"/>
      <c r="AF706" s="25"/>
      <c r="AG706" s="25"/>
      <c r="AH706" s="10"/>
      <c r="AI706" s="25"/>
      <c r="AJ706" s="25"/>
      <c r="AL706" s="3"/>
      <c r="AN706" s="9"/>
      <c r="AO706" s="9"/>
      <c r="AP706" s="9"/>
      <c r="AQ706" s="9"/>
      <c r="AR706" s="2"/>
      <c r="AS706" s="31"/>
    </row>
    <row r="707" spans="1:45">
      <c r="A707" s="13">
        <v>38565</v>
      </c>
      <c r="B707" s="3">
        <v>95.888400000000004</v>
      </c>
      <c r="C707" s="24">
        <v>142434</v>
      </c>
      <c r="D707" s="24">
        <v>134217</v>
      </c>
      <c r="E707" s="2">
        <v>4.9000000000000004</v>
      </c>
      <c r="F707" s="33">
        <v>-9.1590000000000005E-3</v>
      </c>
      <c r="G707" s="33">
        <v>-1.1221999999999999E-2</v>
      </c>
      <c r="H707" s="25">
        <v>5.09</v>
      </c>
      <c r="I707" s="25">
        <v>5.96</v>
      </c>
      <c r="J707" s="25">
        <v>3.5</v>
      </c>
      <c r="K707" s="25">
        <v>3.74</v>
      </c>
      <c r="L707" s="25">
        <v>3.44</v>
      </c>
      <c r="M707" s="33">
        <v>172.1</v>
      </c>
      <c r="N707" s="25"/>
      <c r="O707" s="31">
        <v>324.45999999999998</v>
      </c>
      <c r="P707" s="38">
        <v>105.4954</v>
      </c>
      <c r="Q707" s="24"/>
      <c r="R707" s="38">
        <v>-0.71796099999999996</v>
      </c>
      <c r="T707" s="2"/>
      <c r="U707" s="2"/>
      <c r="V707" s="24"/>
      <c r="W707" s="24"/>
      <c r="X707" s="24"/>
      <c r="Y707" s="24"/>
      <c r="Z707" s="24"/>
      <c r="AA707" s="24"/>
      <c r="AB707" s="24"/>
      <c r="AC707" s="25"/>
      <c r="AD707" s="25"/>
      <c r="AE707" s="25"/>
      <c r="AF707" s="25"/>
      <c r="AG707" s="25"/>
      <c r="AH707" s="10"/>
      <c r="AI707" s="25"/>
      <c r="AJ707" s="25"/>
      <c r="AL707" s="3"/>
      <c r="AN707" s="9"/>
      <c r="AO707" s="9"/>
      <c r="AP707" s="9"/>
      <c r="AQ707" s="9"/>
      <c r="AR707" s="2"/>
      <c r="AS707" s="31"/>
    </row>
    <row r="708" spans="1:45">
      <c r="A708" s="13">
        <v>38596</v>
      </c>
      <c r="B708" s="3">
        <v>94.015299999999996</v>
      </c>
      <c r="C708" s="24">
        <v>142401</v>
      </c>
      <c r="D708" s="24">
        <v>134282</v>
      </c>
      <c r="E708" s="2">
        <v>5</v>
      </c>
      <c r="F708" s="33">
        <v>8.0009999999999994E-3</v>
      </c>
      <c r="G708" s="33">
        <v>6.9490000000000003E-3</v>
      </c>
      <c r="H708" s="25">
        <v>5.13</v>
      </c>
      <c r="I708" s="25">
        <v>6.03</v>
      </c>
      <c r="J708" s="25">
        <v>3.62</v>
      </c>
      <c r="K708" s="25">
        <v>3.85</v>
      </c>
      <c r="L708" s="25">
        <v>3.42</v>
      </c>
      <c r="M708" s="33">
        <v>171.3</v>
      </c>
      <c r="N708" s="25"/>
      <c r="O708" s="31">
        <v>329.24</v>
      </c>
      <c r="P708" s="38">
        <v>136.44</v>
      </c>
      <c r="Q708" s="24"/>
      <c r="R708" s="38">
        <v>-0.552921</v>
      </c>
      <c r="T708" s="2"/>
      <c r="U708" s="2"/>
      <c r="V708" s="24"/>
      <c r="W708" s="24"/>
      <c r="X708" s="24"/>
      <c r="Y708" s="24"/>
      <c r="Z708" s="24"/>
      <c r="AA708" s="24"/>
      <c r="AB708" s="24"/>
      <c r="AC708" s="25"/>
      <c r="AD708" s="25"/>
      <c r="AE708" s="25"/>
      <c r="AF708" s="25"/>
      <c r="AG708" s="25"/>
      <c r="AH708" s="10"/>
      <c r="AI708" s="25"/>
      <c r="AJ708" s="25"/>
      <c r="AL708" s="3"/>
      <c r="AN708" s="9"/>
      <c r="AO708" s="9"/>
      <c r="AP708" s="9"/>
      <c r="AQ708" s="9"/>
      <c r="AR708" s="2"/>
      <c r="AS708" s="31"/>
    </row>
    <row r="709" spans="1:45">
      <c r="A709" s="13">
        <v>38626</v>
      </c>
      <c r="B709" s="3">
        <v>95.183999999999997</v>
      </c>
      <c r="C709" s="24">
        <v>142548</v>
      </c>
      <c r="D709" s="24">
        <v>134363</v>
      </c>
      <c r="E709" s="2">
        <v>5</v>
      </c>
      <c r="F709" s="33">
        <v>-1.5552E-2</v>
      </c>
      <c r="G709" s="33">
        <v>-1.7741E-2</v>
      </c>
      <c r="H709" s="25">
        <v>5.35</v>
      </c>
      <c r="I709" s="25">
        <v>6.3</v>
      </c>
      <c r="J709" s="25">
        <v>3.78</v>
      </c>
      <c r="K709" s="25">
        <v>4.13</v>
      </c>
      <c r="L709" s="25">
        <v>3.71</v>
      </c>
      <c r="M709" s="33">
        <v>170.4</v>
      </c>
      <c r="N709" s="25"/>
      <c r="O709" s="31">
        <v>322.77</v>
      </c>
      <c r="P709" s="38">
        <v>113.7037</v>
      </c>
      <c r="Q709" s="24"/>
      <c r="R709" s="38">
        <v>-0.45277499999999998</v>
      </c>
      <c r="T709" s="2"/>
      <c r="U709" s="2"/>
      <c r="V709" s="24"/>
      <c r="W709" s="24"/>
      <c r="X709" s="24"/>
      <c r="Y709" s="24"/>
      <c r="Z709" s="24"/>
      <c r="AA709" s="24"/>
      <c r="AB709" s="24"/>
      <c r="AC709" s="25"/>
      <c r="AD709" s="25"/>
      <c r="AE709" s="25"/>
      <c r="AF709" s="25"/>
      <c r="AG709" s="25"/>
      <c r="AH709" s="10"/>
      <c r="AI709" s="25"/>
      <c r="AJ709" s="25"/>
      <c r="AL709" s="3"/>
      <c r="AN709" s="9"/>
      <c r="AO709" s="9"/>
      <c r="AP709" s="9"/>
      <c r="AQ709" s="9"/>
      <c r="AR709" s="2"/>
      <c r="AS709" s="31"/>
    </row>
    <row r="710" spans="1:45">
      <c r="A710" s="13">
        <v>38657</v>
      </c>
      <c r="B710" s="3">
        <v>96.112499999999997</v>
      </c>
      <c r="C710" s="24">
        <v>142499</v>
      </c>
      <c r="D710" s="24">
        <v>134698</v>
      </c>
      <c r="E710" s="2">
        <v>5</v>
      </c>
      <c r="F710" s="33">
        <v>3.8365000000000003E-2</v>
      </c>
      <c r="G710" s="33">
        <v>3.5186000000000002E-2</v>
      </c>
      <c r="H710" s="25">
        <v>5.42</v>
      </c>
      <c r="I710" s="25">
        <v>6.39</v>
      </c>
      <c r="J710" s="25">
        <v>4</v>
      </c>
      <c r="K710" s="25">
        <v>4.34</v>
      </c>
      <c r="L710" s="25">
        <v>3.88</v>
      </c>
      <c r="M710" s="33">
        <v>153.80000000000001</v>
      </c>
      <c r="N710" s="25"/>
      <c r="O710" s="31">
        <v>332.92</v>
      </c>
      <c r="P710" s="38">
        <v>108.0176</v>
      </c>
      <c r="Q710" s="24"/>
      <c r="R710" s="38">
        <v>-0.38411400000000001</v>
      </c>
      <c r="T710" s="2"/>
      <c r="U710" s="2"/>
      <c r="V710" s="24"/>
      <c r="W710" s="24"/>
      <c r="X710" s="24"/>
      <c r="Y710" s="24"/>
      <c r="Z710" s="24"/>
      <c r="AA710" s="24"/>
      <c r="AB710" s="24"/>
      <c r="AC710" s="25"/>
      <c r="AD710" s="25"/>
      <c r="AE710" s="25"/>
      <c r="AF710" s="25"/>
      <c r="AG710" s="25"/>
      <c r="AH710" s="10"/>
      <c r="AI710" s="25"/>
      <c r="AJ710" s="25"/>
      <c r="AL710" s="3"/>
      <c r="AN710" s="9"/>
      <c r="AO710" s="9"/>
      <c r="AP710" s="9"/>
      <c r="AQ710" s="9"/>
      <c r="AR710" s="2"/>
      <c r="AS710" s="31"/>
    </row>
    <row r="711" spans="1:45">
      <c r="A711" s="13">
        <v>38687</v>
      </c>
      <c r="B711" s="3">
        <v>96.660200000000003</v>
      </c>
      <c r="C711" s="24">
        <v>142752</v>
      </c>
      <c r="D711" s="24">
        <v>134856</v>
      </c>
      <c r="E711" s="2">
        <v>4.9000000000000004</v>
      </c>
      <c r="F711" s="33">
        <v>-6.0000000000000002E-5</v>
      </c>
      <c r="G711" s="33">
        <v>-9.5200000000000005E-4</v>
      </c>
      <c r="H711" s="25">
        <v>5.37</v>
      </c>
      <c r="I711" s="25">
        <v>6.32</v>
      </c>
      <c r="J711" s="25">
        <v>4.16</v>
      </c>
      <c r="K711" s="25">
        <v>4.47</v>
      </c>
      <c r="L711" s="25">
        <v>3.89</v>
      </c>
      <c r="M711" s="33">
        <v>162.6</v>
      </c>
      <c r="N711" s="25"/>
      <c r="O711" s="31">
        <v>349.55</v>
      </c>
      <c r="P711" s="38">
        <v>134.62350000000001</v>
      </c>
      <c r="Q711" s="24"/>
      <c r="R711" s="38">
        <v>-0.391185</v>
      </c>
      <c r="T711" s="2"/>
      <c r="U711" s="2"/>
      <c r="V711" s="24"/>
      <c r="W711" s="24"/>
      <c r="X711" s="24"/>
      <c r="Y711" s="24"/>
      <c r="Z711" s="24"/>
      <c r="AA711" s="24"/>
      <c r="AB711" s="24"/>
      <c r="AC711" s="25"/>
      <c r="AD711" s="25"/>
      <c r="AE711" s="25"/>
      <c r="AF711" s="25"/>
      <c r="AG711" s="25"/>
      <c r="AH711" s="10"/>
      <c r="AI711" s="25"/>
      <c r="AJ711" s="25"/>
      <c r="AL711" s="3"/>
      <c r="AN711" s="9"/>
      <c r="AO711" s="9"/>
      <c r="AP711" s="9"/>
      <c r="AQ711" s="9"/>
      <c r="AR711" s="2"/>
      <c r="AS711" s="31"/>
    </row>
    <row r="712" spans="1:45">
      <c r="A712" s="13">
        <v>38718</v>
      </c>
      <c r="B712" s="3">
        <v>96.754000000000005</v>
      </c>
      <c r="C712" s="24">
        <v>143150</v>
      </c>
      <c r="D712" s="24">
        <v>135130</v>
      </c>
      <c r="E712" s="2">
        <v>4.7</v>
      </c>
      <c r="F712" s="33">
        <v>2.6426000000000002E-2</v>
      </c>
      <c r="G712" s="33">
        <v>2.5467E-2</v>
      </c>
      <c r="H712" s="25">
        <v>5.29</v>
      </c>
      <c r="I712" s="25">
        <v>6.24</v>
      </c>
      <c r="J712" s="25">
        <v>4.29</v>
      </c>
      <c r="K712" s="25">
        <v>4.59</v>
      </c>
      <c r="L712" s="25">
        <v>4.24</v>
      </c>
      <c r="M712" s="33">
        <v>171.9</v>
      </c>
      <c r="N712" s="25"/>
      <c r="O712" s="31">
        <v>362.93</v>
      </c>
      <c r="P712" s="38">
        <v>109.9589</v>
      </c>
      <c r="Q712" s="24"/>
      <c r="R712" s="38">
        <v>-0.45355800000000002</v>
      </c>
      <c r="T712" s="2"/>
      <c r="U712" s="2"/>
      <c r="V712" s="24"/>
      <c r="W712" s="24"/>
      <c r="X712" s="24"/>
      <c r="Y712" s="24"/>
      <c r="Z712" s="24"/>
      <c r="AA712" s="24"/>
      <c r="AB712" s="24"/>
      <c r="AC712" s="25"/>
      <c r="AD712" s="25"/>
      <c r="AE712" s="25"/>
      <c r="AF712" s="25"/>
      <c r="AG712" s="25"/>
      <c r="AH712" s="10"/>
      <c r="AI712" s="25"/>
      <c r="AJ712" s="25"/>
      <c r="AL712" s="3"/>
      <c r="AN712" s="9"/>
      <c r="AO712" s="9"/>
      <c r="AP712" s="9"/>
      <c r="AQ712" s="9"/>
      <c r="AR712" s="2"/>
      <c r="AS712" s="31"/>
    </row>
    <row r="713" spans="1:45">
      <c r="A713" s="13">
        <v>38749</v>
      </c>
      <c r="B713" s="3">
        <v>96.831900000000005</v>
      </c>
      <c r="C713" s="24">
        <v>143457</v>
      </c>
      <c r="D713" s="24">
        <v>135446</v>
      </c>
      <c r="E713" s="2">
        <v>4.8</v>
      </c>
      <c r="F713" s="33">
        <v>2.4260000000000002E-3</v>
      </c>
      <c r="G713" s="33">
        <v>4.5300000000000001E-4</v>
      </c>
      <c r="H713" s="25">
        <v>5.35</v>
      </c>
      <c r="I713" s="25">
        <v>6.27</v>
      </c>
      <c r="J713" s="25">
        <v>4.49</v>
      </c>
      <c r="K713" s="25">
        <v>4.75</v>
      </c>
      <c r="L713" s="25">
        <v>4.43</v>
      </c>
      <c r="M713" s="33">
        <v>160.19999999999999</v>
      </c>
      <c r="N713" s="25"/>
      <c r="O713" s="31">
        <v>371.03</v>
      </c>
      <c r="P713" s="38">
        <v>85.470460000000003</v>
      </c>
      <c r="Q713" s="24"/>
      <c r="R713" s="38">
        <v>-0.34473599999999999</v>
      </c>
      <c r="T713" s="2"/>
      <c r="U713" s="2"/>
      <c r="V713" s="24"/>
      <c r="W713" s="24"/>
      <c r="X713" s="24"/>
      <c r="Y713" s="24"/>
      <c r="Z713" s="24"/>
      <c r="AA713" s="24"/>
      <c r="AB713" s="24"/>
      <c r="AC713" s="25"/>
      <c r="AD713" s="25"/>
      <c r="AE713" s="25"/>
      <c r="AF713" s="25"/>
      <c r="AG713" s="25"/>
      <c r="AH713" s="10"/>
      <c r="AI713" s="25"/>
      <c r="AJ713" s="25"/>
      <c r="AL713" s="3"/>
      <c r="AN713" s="9"/>
      <c r="AO713" s="9"/>
      <c r="AP713" s="9"/>
      <c r="AQ713" s="9"/>
      <c r="AR713" s="2"/>
      <c r="AS713" s="31"/>
    </row>
    <row r="714" spans="1:45">
      <c r="A714" s="13">
        <v>38777</v>
      </c>
      <c r="B714" s="3">
        <v>97.074100000000001</v>
      </c>
      <c r="C714" s="24">
        <v>143741</v>
      </c>
      <c r="D714" s="24">
        <v>135726</v>
      </c>
      <c r="E714" s="2">
        <v>4.7</v>
      </c>
      <c r="F714" s="33">
        <v>1.2909E-2</v>
      </c>
      <c r="G714" s="33">
        <v>1.1065E-2</v>
      </c>
      <c r="H714" s="25">
        <v>5.53</v>
      </c>
      <c r="I714" s="25">
        <v>6.41</v>
      </c>
      <c r="J714" s="25">
        <v>4.59</v>
      </c>
      <c r="K714" s="25">
        <v>4.91</v>
      </c>
      <c r="L714" s="25">
        <v>4.51</v>
      </c>
      <c r="M714" s="33">
        <v>167.3</v>
      </c>
      <c r="N714" s="25"/>
      <c r="O714" s="31">
        <v>372.12</v>
      </c>
      <c r="P714" s="38">
        <v>101.0638</v>
      </c>
      <c r="Q714" s="24"/>
      <c r="R714" s="38">
        <v>-0.51319099999999995</v>
      </c>
      <c r="T714" s="2"/>
      <c r="U714" s="2"/>
      <c r="V714" s="24"/>
      <c r="W714" s="24"/>
      <c r="X714" s="24"/>
      <c r="Y714" s="24"/>
      <c r="Z714" s="24"/>
      <c r="AA714" s="24"/>
      <c r="AB714" s="24"/>
      <c r="AC714" s="25"/>
      <c r="AD714" s="25"/>
      <c r="AE714" s="25"/>
      <c r="AF714" s="25"/>
      <c r="AG714" s="25"/>
      <c r="AH714" s="10"/>
      <c r="AI714" s="25"/>
      <c r="AJ714" s="25"/>
      <c r="AL714" s="3"/>
      <c r="AN714" s="9"/>
      <c r="AO714" s="9"/>
      <c r="AP714" s="9"/>
      <c r="AQ714" s="9"/>
      <c r="AR714" s="2"/>
      <c r="AS714" s="31"/>
    </row>
    <row r="715" spans="1:45">
      <c r="A715" s="13">
        <v>38808</v>
      </c>
      <c r="B715" s="3">
        <v>97.4499</v>
      </c>
      <c r="C715" s="24">
        <v>143761</v>
      </c>
      <c r="D715" s="24">
        <v>135907</v>
      </c>
      <c r="E715" s="2">
        <v>4.7</v>
      </c>
      <c r="F715" s="33">
        <v>1.2057E-2</v>
      </c>
      <c r="G715" s="33">
        <v>1.2187E-2</v>
      </c>
      <c r="H715" s="25">
        <v>5.84</v>
      </c>
      <c r="I715" s="25">
        <v>6.68</v>
      </c>
      <c r="J715" s="25">
        <v>4.79</v>
      </c>
      <c r="K715" s="25">
        <v>5.0599999999999996</v>
      </c>
      <c r="L715" s="25">
        <v>4.5999999999999996</v>
      </c>
      <c r="M715" s="33">
        <v>187.1</v>
      </c>
      <c r="N715" s="25"/>
      <c r="O715" s="31">
        <v>385.6</v>
      </c>
      <c r="P715" s="38">
        <v>128.35659999999999</v>
      </c>
      <c r="Q715" s="24"/>
      <c r="R715" s="38">
        <v>-0.52721300000000004</v>
      </c>
      <c r="T715" s="2"/>
      <c r="U715" s="2"/>
      <c r="V715" s="24"/>
      <c r="W715" s="24"/>
      <c r="X715" s="24"/>
      <c r="Y715" s="24"/>
      <c r="Z715" s="24"/>
      <c r="AA715" s="24"/>
      <c r="AB715" s="24"/>
      <c r="AC715" s="25"/>
      <c r="AD715" s="25"/>
      <c r="AE715" s="25"/>
      <c r="AF715" s="25"/>
      <c r="AG715" s="25"/>
      <c r="AH715" s="10"/>
      <c r="AI715" s="25"/>
      <c r="AJ715" s="25"/>
      <c r="AL715" s="3"/>
      <c r="AN715" s="9"/>
      <c r="AO715" s="9"/>
      <c r="AP715" s="9"/>
      <c r="AQ715" s="9"/>
      <c r="AR715" s="2"/>
      <c r="AS715" s="31"/>
    </row>
    <row r="716" spans="1:45">
      <c r="A716" s="13">
        <v>38838</v>
      </c>
      <c r="B716" s="3">
        <v>97.3416</v>
      </c>
      <c r="C716" s="24">
        <v>144089</v>
      </c>
      <c r="D716" s="24">
        <v>135928</v>
      </c>
      <c r="E716" s="2">
        <v>4.5999999999999996</v>
      </c>
      <c r="F716" s="33">
        <v>-2.8317999999999999E-2</v>
      </c>
      <c r="G716" s="33">
        <v>-3.0917E-2</v>
      </c>
      <c r="H716" s="25">
        <v>5.95</v>
      </c>
      <c r="I716" s="25">
        <v>6.75</v>
      </c>
      <c r="J716" s="25">
        <v>4.9400000000000004</v>
      </c>
      <c r="K716" s="25">
        <v>5.18</v>
      </c>
      <c r="L716" s="25">
        <v>4.72</v>
      </c>
      <c r="M716" s="33">
        <v>191.9</v>
      </c>
      <c r="N716" s="25"/>
      <c r="O716" s="31">
        <v>400.51</v>
      </c>
      <c r="P716" s="38">
        <v>112.39100000000001</v>
      </c>
      <c r="Q716" s="24"/>
      <c r="R716" s="38">
        <v>-0.39822600000000002</v>
      </c>
      <c r="T716" s="2"/>
      <c r="U716" s="2"/>
      <c r="V716" s="24"/>
      <c r="W716" s="24"/>
      <c r="X716" s="24"/>
      <c r="Y716" s="24"/>
      <c r="Z716" s="24"/>
      <c r="AA716" s="24"/>
      <c r="AB716" s="24"/>
      <c r="AC716" s="25"/>
      <c r="AD716" s="25"/>
      <c r="AE716" s="25"/>
      <c r="AF716" s="25"/>
      <c r="AG716" s="25"/>
      <c r="AH716" s="10"/>
      <c r="AI716" s="25"/>
      <c r="AJ716" s="25"/>
      <c r="AL716" s="3"/>
      <c r="AN716" s="9"/>
      <c r="AO716" s="9"/>
      <c r="AP716" s="9"/>
      <c r="AQ716" s="9"/>
      <c r="AR716" s="2"/>
      <c r="AS716" s="31"/>
    </row>
    <row r="717" spans="1:45">
      <c r="A717" s="13">
        <v>38869</v>
      </c>
      <c r="B717" s="3">
        <v>97.716499999999996</v>
      </c>
      <c r="C717" s="24">
        <v>144353</v>
      </c>
      <c r="D717" s="24">
        <v>136008</v>
      </c>
      <c r="E717" s="2">
        <v>4.5999999999999996</v>
      </c>
      <c r="F717" s="33">
        <v>1.5579999999999999E-3</v>
      </c>
      <c r="G717" s="33">
        <v>8.7000000000000001E-5</v>
      </c>
      <c r="H717" s="25">
        <v>5.89</v>
      </c>
      <c r="I717" s="25">
        <v>6.78</v>
      </c>
      <c r="J717" s="25">
        <v>4.99</v>
      </c>
      <c r="K717" s="25">
        <v>5.38</v>
      </c>
      <c r="L717" s="25">
        <v>4.79</v>
      </c>
      <c r="M717" s="33">
        <v>187.2</v>
      </c>
      <c r="N717" s="25"/>
      <c r="O717" s="31">
        <v>400.09</v>
      </c>
      <c r="P717" s="38">
        <v>125.5301</v>
      </c>
      <c r="Q717" s="24"/>
      <c r="R717" s="38">
        <v>-0.446156</v>
      </c>
      <c r="T717" s="2"/>
      <c r="U717" s="2"/>
      <c r="V717" s="24"/>
      <c r="W717" s="24"/>
      <c r="X717" s="24"/>
      <c r="Y717" s="24"/>
      <c r="Z717" s="24"/>
      <c r="AA717" s="24"/>
      <c r="AB717" s="24"/>
      <c r="AC717" s="25"/>
      <c r="AD717" s="25"/>
      <c r="AE717" s="25"/>
      <c r="AF717" s="25"/>
      <c r="AG717" s="25"/>
      <c r="AH717" s="10"/>
      <c r="AI717" s="25"/>
      <c r="AJ717" s="25"/>
      <c r="AL717" s="3"/>
      <c r="AN717" s="9"/>
      <c r="AO717" s="9"/>
      <c r="AP717" s="9"/>
      <c r="AQ717" s="9"/>
      <c r="AR717" s="2"/>
      <c r="AS717" s="31"/>
    </row>
    <row r="718" spans="1:45">
      <c r="A718" s="13">
        <v>38899</v>
      </c>
      <c r="B718" s="3">
        <v>97.763800000000003</v>
      </c>
      <c r="C718" s="24">
        <v>144202</v>
      </c>
      <c r="D718" s="24">
        <v>136218</v>
      </c>
      <c r="E718" s="2">
        <v>4.7</v>
      </c>
      <c r="F718" s="33">
        <v>5.5500000000000002E-3</v>
      </c>
      <c r="G718" s="33">
        <v>5.0860000000000002E-3</v>
      </c>
      <c r="H718" s="25">
        <v>5.85</v>
      </c>
      <c r="I718" s="25">
        <v>6.76</v>
      </c>
      <c r="J718" s="25">
        <v>5.24</v>
      </c>
      <c r="K718" s="25">
        <v>5.49</v>
      </c>
      <c r="L718" s="25">
        <v>4.95</v>
      </c>
      <c r="M718" s="33">
        <v>202</v>
      </c>
      <c r="N718" s="25"/>
      <c r="O718" s="31">
        <v>403.46</v>
      </c>
      <c r="P718" s="38">
        <v>117.9329</v>
      </c>
      <c r="Q718" s="24"/>
      <c r="R718" s="38">
        <v>-0.37468800000000002</v>
      </c>
      <c r="T718" s="2"/>
      <c r="U718" s="2"/>
      <c r="V718" s="24"/>
      <c r="W718" s="24"/>
      <c r="X718" s="24"/>
      <c r="Y718" s="24"/>
      <c r="Z718" s="24"/>
      <c r="AA718" s="24"/>
      <c r="AB718" s="24"/>
      <c r="AC718" s="25"/>
      <c r="AD718" s="25"/>
      <c r="AE718" s="25"/>
      <c r="AF718" s="25"/>
      <c r="AG718" s="25"/>
      <c r="AH718" s="10"/>
      <c r="AI718" s="25"/>
      <c r="AJ718" s="25"/>
      <c r="AL718" s="3"/>
      <c r="AN718" s="9"/>
      <c r="AO718" s="9"/>
      <c r="AP718" s="9"/>
      <c r="AQ718" s="9"/>
      <c r="AR718" s="2"/>
      <c r="AS718" s="31"/>
    </row>
    <row r="719" spans="1:45">
      <c r="A719" s="13">
        <v>38930</v>
      </c>
      <c r="B719" s="3">
        <v>97.965999999999994</v>
      </c>
      <c r="C719" s="24">
        <v>144625</v>
      </c>
      <c r="D719" s="24">
        <v>136397</v>
      </c>
      <c r="E719" s="2">
        <v>4.7</v>
      </c>
      <c r="F719" s="33">
        <v>2.4170000000000001E-2</v>
      </c>
      <c r="G719" s="33">
        <v>2.1274000000000001E-2</v>
      </c>
      <c r="H719" s="25">
        <v>5.68</v>
      </c>
      <c r="I719" s="25">
        <v>6.59</v>
      </c>
      <c r="J719" s="25">
        <v>5.25</v>
      </c>
      <c r="K719" s="25">
        <v>5.41</v>
      </c>
      <c r="L719" s="25">
        <v>4.96</v>
      </c>
      <c r="M719" s="33">
        <v>198.7</v>
      </c>
      <c r="N719" s="25"/>
      <c r="O719" s="31">
        <v>404.29</v>
      </c>
      <c r="P719" s="38">
        <v>117.46720000000001</v>
      </c>
      <c r="Q719" s="24"/>
      <c r="R719" s="38">
        <v>-0.41735899999999998</v>
      </c>
      <c r="T719" s="2"/>
      <c r="U719" s="2"/>
      <c r="V719" s="24"/>
      <c r="W719" s="24"/>
      <c r="X719" s="24"/>
      <c r="Y719" s="24"/>
      <c r="Z719" s="24"/>
      <c r="AA719" s="24"/>
      <c r="AB719" s="24"/>
      <c r="AC719" s="25"/>
      <c r="AD719" s="25"/>
      <c r="AE719" s="25"/>
      <c r="AF719" s="25"/>
      <c r="AG719" s="25"/>
      <c r="AH719" s="10"/>
      <c r="AI719" s="25"/>
      <c r="AJ719" s="25"/>
      <c r="AL719" s="3"/>
      <c r="AN719" s="9"/>
      <c r="AO719" s="9"/>
      <c r="AP719" s="9"/>
      <c r="AQ719" s="9"/>
      <c r="AR719" s="2"/>
      <c r="AS719" s="31"/>
    </row>
    <row r="720" spans="1:45">
      <c r="A720" s="13">
        <v>38961</v>
      </c>
      <c r="B720" s="3">
        <v>97.837000000000003</v>
      </c>
      <c r="C720" s="24">
        <v>144815</v>
      </c>
      <c r="D720" s="24">
        <v>136556</v>
      </c>
      <c r="E720" s="2">
        <v>4.5</v>
      </c>
      <c r="F720" s="33">
        <v>2.6487E-2</v>
      </c>
      <c r="G720" s="33">
        <v>2.4566000000000001E-2</v>
      </c>
      <c r="H720" s="25">
        <v>5.51</v>
      </c>
      <c r="I720" s="25">
        <v>6.43</v>
      </c>
      <c r="J720" s="25">
        <v>5.25</v>
      </c>
      <c r="K720" s="25">
        <v>5.38</v>
      </c>
      <c r="L720" s="25">
        <v>4.8099999999999996</v>
      </c>
      <c r="M720" s="33">
        <v>172.2</v>
      </c>
      <c r="N720" s="25"/>
      <c r="O720" s="31">
        <v>404.47</v>
      </c>
      <c r="P720" s="38">
        <v>90.51276</v>
      </c>
      <c r="Q720" s="24"/>
      <c r="R720" s="38">
        <v>-0.517069</v>
      </c>
      <c r="T720" s="2"/>
      <c r="U720" s="2"/>
      <c r="V720" s="24"/>
      <c r="W720" s="24"/>
      <c r="X720" s="24"/>
      <c r="Y720" s="24"/>
      <c r="Z720" s="24"/>
      <c r="AA720" s="24"/>
      <c r="AB720" s="24"/>
      <c r="AC720" s="25"/>
      <c r="AD720" s="25"/>
      <c r="AE720" s="25"/>
      <c r="AF720" s="25"/>
      <c r="AG720" s="25"/>
      <c r="AH720" s="10"/>
      <c r="AI720" s="25"/>
      <c r="AJ720" s="25"/>
      <c r="AL720" s="3"/>
      <c r="AN720" s="9"/>
      <c r="AO720" s="9"/>
      <c r="AP720" s="9"/>
      <c r="AQ720" s="9"/>
      <c r="AR720" s="2"/>
      <c r="AS720" s="31"/>
    </row>
    <row r="721" spans="1:45">
      <c r="A721" s="13">
        <v>38991</v>
      </c>
      <c r="B721" s="3">
        <v>97.745199999999997</v>
      </c>
      <c r="C721" s="24">
        <v>145314</v>
      </c>
      <c r="D721" s="24">
        <v>136553</v>
      </c>
      <c r="E721" s="2">
        <v>4.4000000000000004</v>
      </c>
      <c r="F721" s="33">
        <v>3.2514000000000001E-2</v>
      </c>
      <c r="G721" s="33">
        <v>3.1508000000000001E-2</v>
      </c>
      <c r="H721" s="25">
        <v>5.51</v>
      </c>
      <c r="I721" s="25">
        <v>6.42</v>
      </c>
      <c r="J721" s="25">
        <v>5.25</v>
      </c>
      <c r="K721" s="25">
        <v>5.36</v>
      </c>
      <c r="L721" s="25">
        <v>4.92</v>
      </c>
      <c r="M721" s="33">
        <v>155.9</v>
      </c>
      <c r="N721" s="25"/>
      <c r="O721" s="31">
        <v>417.74</v>
      </c>
      <c r="P721" s="38">
        <v>88.852350000000001</v>
      </c>
      <c r="Q721" s="24"/>
      <c r="R721" s="38">
        <v>-0.53356999999999999</v>
      </c>
      <c r="T721" s="2"/>
      <c r="U721" s="2"/>
      <c r="V721" s="24"/>
      <c r="W721" s="24"/>
      <c r="X721" s="24"/>
      <c r="Y721" s="24"/>
      <c r="Z721" s="24"/>
      <c r="AA721" s="24"/>
      <c r="AB721" s="24"/>
      <c r="AC721" s="25"/>
      <c r="AD721" s="25"/>
      <c r="AE721" s="25"/>
      <c r="AF721" s="25"/>
      <c r="AG721" s="25"/>
      <c r="AH721" s="10"/>
      <c r="AI721" s="25"/>
      <c r="AJ721" s="25"/>
      <c r="AL721" s="3"/>
      <c r="AN721" s="9"/>
      <c r="AO721" s="9"/>
      <c r="AP721" s="9"/>
      <c r="AQ721" s="9"/>
      <c r="AR721" s="2"/>
      <c r="AS721" s="31"/>
    </row>
    <row r="722" spans="1:45">
      <c r="A722" s="13">
        <v>39022</v>
      </c>
      <c r="B722" s="3">
        <v>97.631600000000006</v>
      </c>
      <c r="C722" s="24">
        <v>145534</v>
      </c>
      <c r="D722" s="24">
        <v>136758</v>
      </c>
      <c r="E722" s="2">
        <v>4.5</v>
      </c>
      <c r="F722" s="33">
        <v>1.8384999999999999E-2</v>
      </c>
      <c r="G722" s="33">
        <v>1.6466999999999999E-2</v>
      </c>
      <c r="H722" s="25">
        <v>5.33</v>
      </c>
      <c r="I722" s="25">
        <v>6.2</v>
      </c>
      <c r="J722" s="25">
        <v>5.25</v>
      </c>
      <c r="K722" s="25">
        <v>5.36</v>
      </c>
      <c r="L722" s="25">
        <v>4.9400000000000004</v>
      </c>
      <c r="M722" s="33">
        <v>154.30000000000001</v>
      </c>
      <c r="N722" s="25"/>
      <c r="O722" s="31">
        <v>437.14</v>
      </c>
      <c r="P722" s="38">
        <v>80.231759999999994</v>
      </c>
      <c r="Q722" s="24"/>
      <c r="R722" s="38">
        <v>-0.51802700000000002</v>
      </c>
      <c r="T722" s="2"/>
      <c r="U722" s="2"/>
      <c r="V722" s="24"/>
      <c r="W722" s="24"/>
      <c r="X722" s="24"/>
      <c r="Y722" s="24"/>
      <c r="Z722" s="24"/>
      <c r="AA722" s="24"/>
      <c r="AB722" s="24"/>
      <c r="AC722" s="25"/>
      <c r="AD722" s="25"/>
      <c r="AE722" s="25"/>
      <c r="AF722" s="25"/>
      <c r="AG722" s="25"/>
      <c r="AH722" s="10"/>
      <c r="AI722" s="25"/>
      <c r="AJ722" s="25"/>
      <c r="AL722" s="3"/>
      <c r="AN722" s="9"/>
      <c r="AO722" s="9"/>
      <c r="AP722" s="9"/>
      <c r="AQ722" s="9"/>
      <c r="AR722" s="2"/>
      <c r="AS722" s="31"/>
    </row>
    <row r="723" spans="1:45">
      <c r="A723" s="13">
        <v>39052</v>
      </c>
      <c r="B723" s="3">
        <v>98.631399999999999</v>
      </c>
      <c r="C723" s="24">
        <v>145970</v>
      </c>
      <c r="D723" s="24">
        <v>136927</v>
      </c>
      <c r="E723" s="2">
        <v>4.4000000000000004</v>
      </c>
      <c r="F723" s="33">
        <v>1.3759E-2</v>
      </c>
      <c r="G723" s="33">
        <v>1.2616E-2</v>
      </c>
      <c r="H723" s="25">
        <v>5.32</v>
      </c>
      <c r="I723" s="25">
        <v>6.22</v>
      </c>
      <c r="J723" s="25">
        <v>5.24</v>
      </c>
      <c r="K723" s="25">
        <v>5.35</v>
      </c>
      <c r="L723" s="25">
        <v>4.8499999999999996</v>
      </c>
      <c r="M723" s="33">
        <v>162.69999999999999</v>
      </c>
      <c r="N723" s="25"/>
      <c r="O723" s="31">
        <v>446.62</v>
      </c>
      <c r="P723" s="38">
        <v>88.037220000000005</v>
      </c>
      <c r="Q723" s="24"/>
      <c r="R723" s="38">
        <v>-0.65720000000000001</v>
      </c>
      <c r="T723" s="2"/>
      <c r="U723" s="2"/>
      <c r="V723" s="24"/>
      <c r="W723" s="24"/>
      <c r="X723" s="24"/>
      <c r="Y723" s="24"/>
      <c r="Z723" s="24"/>
      <c r="AA723" s="24"/>
      <c r="AB723" s="24"/>
      <c r="AC723" s="25"/>
      <c r="AD723" s="25"/>
      <c r="AE723" s="25"/>
      <c r="AF723" s="25"/>
      <c r="AG723" s="25"/>
      <c r="AH723" s="10"/>
      <c r="AI723" s="25"/>
      <c r="AJ723" s="25"/>
      <c r="AL723" s="3"/>
      <c r="AN723" s="9"/>
      <c r="AO723" s="9"/>
      <c r="AP723" s="9"/>
      <c r="AQ723" s="9"/>
      <c r="AR723" s="2"/>
      <c r="AS723" s="31"/>
    </row>
    <row r="724" spans="1:45">
      <c r="A724" s="13">
        <v>39083</v>
      </c>
      <c r="B724" s="3">
        <v>98.160799999999995</v>
      </c>
      <c r="C724" s="24">
        <v>146028</v>
      </c>
      <c r="D724" s="24">
        <v>137161</v>
      </c>
      <c r="E724" s="2">
        <v>4.5999999999999996</v>
      </c>
      <c r="F724" s="33">
        <v>1.5350000000000001E-2</v>
      </c>
      <c r="G724" s="33">
        <v>1.4059E-2</v>
      </c>
      <c r="H724" s="25">
        <v>5.4</v>
      </c>
      <c r="I724" s="25">
        <v>6.34</v>
      </c>
      <c r="J724" s="25">
        <v>5.25</v>
      </c>
      <c r="K724" s="25">
        <v>5.35</v>
      </c>
      <c r="L724" s="25">
        <v>4.9800000000000004</v>
      </c>
      <c r="M724" s="33">
        <v>146.6</v>
      </c>
      <c r="N724" s="25"/>
      <c r="O724" s="31">
        <v>439.93</v>
      </c>
      <c r="P724" s="38">
        <v>111.9802</v>
      </c>
      <c r="Q724" s="24"/>
      <c r="R724" s="38">
        <v>-0.67421399999999998</v>
      </c>
      <c r="T724" s="2"/>
      <c r="U724" s="2"/>
      <c r="V724" s="24"/>
      <c r="W724" s="24"/>
      <c r="X724" s="24"/>
      <c r="Y724" s="24"/>
      <c r="Z724" s="24"/>
      <c r="AA724" s="24"/>
      <c r="AB724" s="24"/>
      <c r="AC724" s="25"/>
      <c r="AD724" s="25"/>
      <c r="AE724" s="25"/>
      <c r="AF724" s="25"/>
      <c r="AG724" s="25"/>
      <c r="AH724" s="10"/>
      <c r="AI724" s="25"/>
      <c r="AJ724" s="25"/>
      <c r="AL724" s="3"/>
      <c r="AN724" s="9"/>
      <c r="AO724" s="9"/>
      <c r="AP724" s="9"/>
      <c r="AQ724" s="9"/>
      <c r="AR724" s="2"/>
      <c r="AS724" s="31"/>
    </row>
    <row r="725" spans="1:45">
      <c r="A725" s="13">
        <v>39114</v>
      </c>
      <c r="B725" s="3">
        <v>99.255899999999997</v>
      </c>
      <c r="C725" s="24">
        <v>146057</v>
      </c>
      <c r="D725" s="24">
        <v>137251</v>
      </c>
      <c r="E725" s="2">
        <v>4.5</v>
      </c>
      <c r="F725" s="33">
        <v>-1.9269000000000001E-2</v>
      </c>
      <c r="G725" s="33">
        <v>-2.1846000000000001E-2</v>
      </c>
      <c r="H725" s="25">
        <v>5.39</v>
      </c>
      <c r="I725" s="25">
        <v>6.28</v>
      </c>
      <c r="J725" s="25">
        <v>5.26</v>
      </c>
      <c r="K725" s="25">
        <v>5.35</v>
      </c>
      <c r="L725" s="25">
        <v>5.03</v>
      </c>
      <c r="M725" s="33">
        <v>157.5</v>
      </c>
      <c r="N725" s="25"/>
      <c r="O725" s="31">
        <v>442.38</v>
      </c>
      <c r="P725" s="38">
        <v>93.699650000000005</v>
      </c>
      <c r="Q725" s="24"/>
      <c r="R725" s="38">
        <v>-0.72928499999999996</v>
      </c>
      <c r="T725" s="2"/>
      <c r="U725" s="2"/>
      <c r="V725" s="24"/>
      <c r="W725" s="24"/>
      <c r="X725" s="24"/>
      <c r="Y725" s="24"/>
      <c r="Z725" s="24"/>
      <c r="AA725" s="24"/>
      <c r="AB725" s="24"/>
      <c r="AC725" s="25"/>
      <c r="AD725" s="25"/>
      <c r="AE725" s="25"/>
      <c r="AF725" s="25"/>
      <c r="AG725" s="25"/>
      <c r="AH725" s="10"/>
      <c r="AI725" s="25"/>
      <c r="AJ725" s="25"/>
      <c r="AL725" s="3"/>
      <c r="AN725" s="9"/>
      <c r="AO725" s="9"/>
      <c r="AP725" s="9"/>
      <c r="AQ725" s="9"/>
      <c r="AR725" s="2"/>
      <c r="AS725" s="31"/>
    </row>
    <row r="726" spans="1:45">
      <c r="A726" s="13">
        <v>39142</v>
      </c>
      <c r="B726" s="3">
        <v>99.329499999999996</v>
      </c>
      <c r="C726" s="24">
        <v>146320</v>
      </c>
      <c r="D726" s="24">
        <v>137437</v>
      </c>
      <c r="E726" s="2">
        <v>4.4000000000000004</v>
      </c>
      <c r="F726" s="33">
        <v>1.0895999999999999E-2</v>
      </c>
      <c r="G726" s="33">
        <v>9.9799999999999993E-3</v>
      </c>
      <c r="H726" s="25">
        <v>5.3</v>
      </c>
      <c r="I726" s="25">
        <v>6.27</v>
      </c>
      <c r="J726" s="25">
        <v>5.26</v>
      </c>
      <c r="K726" s="25">
        <v>5.34</v>
      </c>
      <c r="L726" s="25">
        <v>4.9400000000000004</v>
      </c>
      <c r="M726" s="33">
        <v>156.30000000000001</v>
      </c>
      <c r="N726" s="25"/>
      <c r="O726" s="31">
        <v>457.59</v>
      </c>
      <c r="P726" s="38">
        <v>109.0343</v>
      </c>
      <c r="Q726" s="24"/>
      <c r="R726" s="38">
        <v>-0.47987600000000002</v>
      </c>
      <c r="T726" s="2"/>
      <c r="U726" s="2"/>
      <c r="V726" s="24"/>
      <c r="W726" s="24"/>
      <c r="X726" s="24"/>
      <c r="Y726" s="24"/>
      <c r="Z726" s="24"/>
      <c r="AA726" s="24"/>
      <c r="AB726" s="24"/>
      <c r="AC726" s="25"/>
      <c r="AD726" s="25"/>
      <c r="AE726" s="25"/>
      <c r="AF726" s="25"/>
      <c r="AG726" s="25"/>
      <c r="AH726" s="10"/>
      <c r="AI726" s="25"/>
      <c r="AJ726" s="25"/>
      <c r="AL726" s="3"/>
      <c r="AN726" s="9"/>
      <c r="AO726" s="9"/>
      <c r="AP726" s="9"/>
      <c r="AQ726" s="9"/>
      <c r="AR726" s="2"/>
      <c r="AS726" s="31"/>
    </row>
    <row r="727" spans="1:45">
      <c r="A727" s="13">
        <v>39173</v>
      </c>
      <c r="B727" s="3">
        <v>100.05119999999999</v>
      </c>
      <c r="C727" s="24">
        <v>145586</v>
      </c>
      <c r="D727" s="24">
        <v>137513</v>
      </c>
      <c r="E727" s="2">
        <v>4.5</v>
      </c>
      <c r="F727" s="33">
        <v>4.3991000000000002E-2</v>
      </c>
      <c r="G727" s="33">
        <v>4.3291000000000003E-2</v>
      </c>
      <c r="H727" s="25">
        <v>5.47</v>
      </c>
      <c r="I727" s="25">
        <v>6.39</v>
      </c>
      <c r="J727" s="25">
        <v>5.25</v>
      </c>
      <c r="K727" s="25">
        <v>5.34</v>
      </c>
      <c r="L727" s="25">
        <v>4.87</v>
      </c>
      <c r="M727" s="33">
        <v>167.8</v>
      </c>
      <c r="N727" s="25"/>
      <c r="O727" s="31">
        <v>474.7</v>
      </c>
      <c r="P727" s="38">
        <v>93.642229999999998</v>
      </c>
      <c r="Q727" s="24"/>
      <c r="R727" s="38">
        <v>-0.47933700000000001</v>
      </c>
      <c r="T727" s="2"/>
      <c r="U727" s="2"/>
      <c r="V727" s="24"/>
      <c r="W727" s="24"/>
      <c r="X727" s="24"/>
      <c r="Y727" s="24"/>
      <c r="Z727" s="24"/>
      <c r="AA727" s="24"/>
      <c r="AB727" s="24"/>
      <c r="AC727" s="25"/>
      <c r="AD727" s="25"/>
      <c r="AE727" s="25"/>
      <c r="AF727" s="25"/>
      <c r="AG727" s="25"/>
      <c r="AH727" s="10"/>
      <c r="AI727" s="25"/>
      <c r="AJ727" s="25"/>
      <c r="AL727" s="3"/>
      <c r="AN727" s="9"/>
      <c r="AO727" s="9"/>
      <c r="AP727" s="9"/>
      <c r="AQ727" s="9"/>
      <c r="AR727" s="2"/>
      <c r="AS727" s="31"/>
    </row>
    <row r="728" spans="1:45">
      <c r="A728" s="13">
        <v>39203</v>
      </c>
      <c r="B728" s="3">
        <v>100.1109</v>
      </c>
      <c r="C728" s="24">
        <v>145903</v>
      </c>
      <c r="D728" s="24">
        <v>137654</v>
      </c>
      <c r="E728" s="2">
        <v>4.4000000000000004</v>
      </c>
      <c r="F728" s="33">
        <v>3.4458999999999997E-2</v>
      </c>
      <c r="G728" s="33">
        <v>3.2549000000000002E-2</v>
      </c>
      <c r="H728" s="25">
        <v>5.47</v>
      </c>
      <c r="I728" s="25">
        <v>6.39</v>
      </c>
      <c r="J728" s="25">
        <v>5.25</v>
      </c>
      <c r="K728" s="25">
        <v>5.34</v>
      </c>
      <c r="L728" s="25">
        <v>4.7300000000000004</v>
      </c>
      <c r="M728" s="33">
        <v>169.9</v>
      </c>
      <c r="N728" s="25"/>
      <c r="O728" s="31">
        <v>486.13</v>
      </c>
      <c r="P728" s="38">
        <v>105.56310000000001</v>
      </c>
      <c r="Q728" s="24"/>
      <c r="R728" s="38">
        <v>-0.73451699999999998</v>
      </c>
      <c r="T728" s="2"/>
      <c r="U728" s="2"/>
      <c r="V728" s="24"/>
      <c r="W728" s="24"/>
      <c r="X728" s="24"/>
      <c r="Y728" s="24"/>
      <c r="Z728" s="24"/>
      <c r="AA728" s="24"/>
      <c r="AB728" s="24"/>
      <c r="AC728" s="25"/>
      <c r="AD728" s="25"/>
      <c r="AE728" s="25"/>
      <c r="AF728" s="25"/>
      <c r="AG728" s="25"/>
      <c r="AH728" s="10"/>
      <c r="AI728" s="25"/>
      <c r="AJ728" s="25"/>
      <c r="AL728" s="3"/>
      <c r="AN728" s="9"/>
      <c r="AO728" s="9"/>
      <c r="AP728" s="9"/>
      <c r="AQ728" s="9"/>
      <c r="AR728" s="2"/>
      <c r="AS728" s="31"/>
    </row>
    <row r="729" spans="1:45">
      <c r="A729" s="13">
        <v>39234</v>
      </c>
      <c r="B729" s="3">
        <v>100.1159</v>
      </c>
      <c r="C729" s="24">
        <v>146063</v>
      </c>
      <c r="D729" s="24">
        <v>137734</v>
      </c>
      <c r="E729" s="2">
        <v>4.5999999999999996</v>
      </c>
      <c r="F729" s="33">
        <v>-1.6624E-2</v>
      </c>
      <c r="G729" s="33">
        <v>-1.7815999999999999E-2</v>
      </c>
      <c r="H729" s="25">
        <v>5.79</v>
      </c>
      <c r="I729" s="25">
        <v>6.7</v>
      </c>
      <c r="J729" s="25">
        <v>5.25</v>
      </c>
      <c r="K729" s="25">
        <v>5.35</v>
      </c>
      <c r="L729" s="25">
        <v>4.6100000000000003</v>
      </c>
      <c r="M729" s="33">
        <v>177.4</v>
      </c>
      <c r="N729" s="25"/>
      <c r="O729" s="31">
        <v>493.96</v>
      </c>
      <c r="P729" s="38">
        <v>95.295299999999997</v>
      </c>
      <c r="Q729" s="24"/>
      <c r="R729" s="38">
        <v>-0.493697</v>
      </c>
      <c r="T729" s="2"/>
      <c r="U729" s="2"/>
      <c r="V729" s="24"/>
      <c r="W729" s="24"/>
      <c r="X729" s="24"/>
      <c r="Y729" s="24"/>
      <c r="Z729" s="24"/>
      <c r="AA729" s="24"/>
      <c r="AB729" s="24"/>
      <c r="AC729" s="25"/>
      <c r="AD729" s="25"/>
      <c r="AE729" s="25"/>
      <c r="AF729" s="25"/>
      <c r="AG729" s="25"/>
      <c r="AH729" s="10"/>
      <c r="AI729" s="25"/>
      <c r="AJ729" s="25"/>
      <c r="AL729" s="3"/>
      <c r="AN729" s="9"/>
      <c r="AO729" s="9"/>
      <c r="AP729" s="9"/>
      <c r="AQ729" s="9"/>
      <c r="AR729" s="2"/>
      <c r="AS729" s="31"/>
    </row>
    <row r="730" spans="1:45">
      <c r="A730" s="13">
        <v>39264</v>
      </c>
      <c r="B730" s="3">
        <v>100.1435</v>
      </c>
      <c r="C730" s="24">
        <v>145905</v>
      </c>
      <c r="D730" s="24">
        <v>137699</v>
      </c>
      <c r="E730" s="2">
        <v>4.7</v>
      </c>
      <c r="F730" s="33">
        <v>-3.1192000000000001E-2</v>
      </c>
      <c r="G730" s="33">
        <v>-3.1981999999999997E-2</v>
      </c>
      <c r="H730" s="25">
        <v>5.73</v>
      </c>
      <c r="I730" s="25">
        <v>6.65</v>
      </c>
      <c r="J730" s="25">
        <v>5.26</v>
      </c>
      <c r="K730" s="25">
        <v>5.35</v>
      </c>
      <c r="L730" s="25">
        <v>4.82</v>
      </c>
      <c r="M730" s="33">
        <v>200.4</v>
      </c>
      <c r="N730" s="25"/>
      <c r="O730" s="31">
        <v>502.42</v>
      </c>
      <c r="P730" s="38">
        <v>74.326849999999993</v>
      </c>
      <c r="Q730" s="24"/>
      <c r="R730" s="38">
        <v>-7.9588999999999993E-2</v>
      </c>
      <c r="T730" s="2"/>
      <c r="U730" s="2"/>
      <c r="V730" s="24"/>
      <c r="W730" s="24"/>
      <c r="X730" s="24"/>
      <c r="Y730" s="24"/>
      <c r="Z730" s="24"/>
      <c r="AA730" s="24"/>
      <c r="AB730" s="24"/>
      <c r="AC730" s="25"/>
      <c r="AD730" s="25"/>
      <c r="AE730" s="25"/>
      <c r="AF730" s="25"/>
      <c r="AG730" s="25"/>
      <c r="AH730" s="10"/>
      <c r="AI730" s="25"/>
      <c r="AJ730" s="25"/>
      <c r="AL730" s="3"/>
      <c r="AN730" s="9"/>
      <c r="AO730" s="9"/>
      <c r="AP730" s="9"/>
      <c r="AQ730" s="9"/>
      <c r="AR730" s="2"/>
      <c r="AS730" s="31"/>
    </row>
    <row r="731" spans="1:45">
      <c r="A731" s="13">
        <v>39295</v>
      </c>
      <c r="B731" s="3">
        <v>100.26990000000001</v>
      </c>
      <c r="C731" s="24">
        <v>145682</v>
      </c>
      <c r="D731" s="24">
        <v>137675</v>
      </c>
      <c r="E731" s="2">
        <v>4.5999999999999996</v>
      </c>
      <c r="F731" s="33">
        <v>1.5117999999999999E-2</v>
      </c>
      <c r="G731" s="33">
        <v>1.2864E-2</v>
      </c>
      <c r="H731" s="25">
        <v>5.79</v>
      </c>
      <c r="I731" s="25">
        <v>6.65</v>
      </c>
      <c r="J731" s="25">
        <v>5.0199999999999996</v>
      </c>
      <c r="K731" s="25">
        <v>5.52</v>
      </c>
      <c r="L731" s="25">
        <v>4.2</v>
      </c>
      <c r="M731" s="33">
        <v>197.9</v>
      </c>
      <c r="N731" s="25"/>
      <c r="O731" s="31">
        <v>495.39</v>
      </c>
      <c r="P731" s="38">
        <v>133.49109999999999</v>
      </c>
      <c r="Q731" s="24"/>
      <c r="R731" s="38">
        <v>8.7162000000000003E-2</v>
      </c>
      <c r="T731" s="2"/>
      <c r="U731" s="2"/>
      <c r="V731" s="24"/>
      <c r="W731" s="24"/>
      <c r="X731" s="24"/>
      <c r="Y731" s="24"/>
      <c r="Z731" s="24"/>
      <c r="AA731" s="24"/>
      <c r="AB731" s="24"/>
      <c r="AC731" s="25"/>
      <c r="AD731" s="25"/>
      <c r="AE731" s="25"/>
      <c r="AF731" s="25"/>
      <c r="AG731" s="25"/>
      <c r="AH731" s="10"/>
      <c r="AI731" s="25"/>
      <c r="AJ731" s="25"/>
      <c r="AL731" s="3"/>
      <c r="AN731" s="9"/>
      <c r="AO731" s="9"/>
      <c r="AP731" s="9"/>
      <c r="AQ731" s="9"/>
      <c r="AR731" s="2"/>
      <c r="AS731" s="31"/>
    </row>
    <row r="732" spans="1:45">
      <c r="A732" s="13">
        <v>39326</v>
      </c>
      <c r="B732" s="3">
        <v>100.7148</v>
      </c>
      <c r="C732" s="24">
        <v>146244</v>
      </c>
      <c r="D732" s="24">
        <v>137752</v>
      </c>
      <c r="E732" s="2">
        <v>4.7</v>
      </c>
      <c r="F732" s="33">
        <v>3.7484999999999997E-2</v>
      </c>
      <c r="G732" s="33">
        <v>3.5793999999999999E-2</v>
      </c>
      <c r="H732" s="25">
        <v>5.74</v>
      </c>
      <c r="I732" s="25">
        <v>6.59</v>
      </c>
      <c r="J732" s="25">
        <v>4.9400000000000004</v>
      </c>
      <c r="K732" s="25">
        <v>5.53</v>
      </c>
      <c r="L732" s="25">
        <v>3.89</v>
      </c>
      <c r="M732" s="33">
        <v>214.5</v>
      </c>
      <c r="N732" s="25"/>
      <c r="O732" s="31">
        <v>499.41</v>
      </c>
      <c r="P732" s="38">
        <v>145.02879999999999</v>
      </c>
      <c r="Q732" s="24"/>
      <c r="R732" s="38">
        <v>3.2049999999999999E-3</v>
      </c>
      <c r="T732" s="2"/>
      <c r="U732" s="2"/>
      <c r="V732" s="24"/>
      <c r="W732" s="24"/>
      <c r="X732" s="24"/>
      <c r="Y732" s="24"/>
      <c r="Z732" s="24"/>
      <c r="AA732" s="24"/>
      <c r="AB732" s="24"/>
      <c r="AC732" s="25"/>
      <c r="AD732" s="25"/>
      <c r="AE732" s="25"/>
      <c r="AF732" s="25"/>
      <c r="AG732" s="25"/>
      <c r="AH732" s="10"/>
      <c r="AI732" s="25"/>
      <c r="AJ732" s="25"/>
      <c r="AL732" s="3"/>
      <c r="AN732" s="9"/>
      <c r="AO732" s="9"/>
      <c r="AP732" s="9"/>
      <c r="AQ732" s="9"/>
      <c r="AR732" s="2"/>
      <c r="AS732" s="31"/>
    </row>
    <row r="733" spans="1:45">
      <c r="A733" s="13">
        <v>39356</v>
      </c>
      <c r="B733" s="3">
        <v>100.2223</v>
      </c>
      <c r="C733" s="24">
        <v>145946</v>
      </c>
      <c r="D733" s="24">
        <v>137838</v>
      </c>
      <c r="E733" s="2">
        <v>4.7</v>
      </c>
      <c r="F733" s="33">
        <v>1.7361999999999999E-2</v>
      </c>
      <c r="G733" s="33">
        <v>1.4822E-2</v>
      </c>
      <c r="H733" s="25">
        <v>5.66</v>
      </c>
      <c r="I733" s="25">
        <v>6.48</v>
      </c>
      <c r="J733" s="25">
        <v>4.76</v>
      </c>
      <c r="K733" s="25">
        <v>5.15</v>
      </c>
      <c r="L733" s="25">
        <v>3.9</v>
      </c>
      <c r="M733" s="33">
        <v>223.3</v>
      </c>
      <c r="N733" s="25"/>
      <c r="O733" s="31">
        <v>512.29</v>
      </c>
      <c r="P733" s="38">
        <v>112.7792</v>
      </c>
      <c r="Q733" s="24"/>
      <c r="R733" s="38">
        <v>-7.6512999999999998E-2</v>
      </c>
      <c r="T733" s="2"/>
      <c r="U733" s="2"/>
      <c r="V733" s="24"/>
      <c r="W733" s="24"/>
      <c r="X733" s="24"/>
      <c r="Y733" s="24"/>
      <c r="Z733" s="24"/>
      <c r="AA733" s="24"/>
      <c r="AB733" s="24"/>
      <c r="AC733" s="25"/>
      <c r="AD733" s="25"/>
      <c r="AE733" s="25"/>
      <c r="AF733" s="25"/>
      <c r="AG733" s="25"/>
      <c r="AH733" s="10"/>
      <c r="AI733" s="25"/>
      <c r="AJ733" s="25"/>
      <c r="AL733" s="3"/>
      <c r="AN733" s="9"/>
      <c r="AO733" s="9"/>
      <c r="AP733" s="9"/>
      <c r="AQ733" s="9"/>
      <c r="AR733" s="2"/>
      <c r="AS733" s="31"/>
    </row>
    <row r="734" spans="1:45">
      <c r="A734" s="13">
        <v>39387</v>
      </c>
      <c r="B734" s="3">
        <v>100.8053</v>
      </c>
      <c r="C734" s="24">
        <v>146595</v>
      </c>
      <c r="D734" s="24">
        <v>137949</v>
      </c>
      <c r="E734" s="2">
        <v>4.7</v>
      </c>
      <c r="F734" s="33">
        <v>-4.1216999999999997E-2</v>
      </c>
      <c r="G734" s="33">
        <v>-4.4042999999999999E-2</v>
      </c>
      <c r="H734" s="25">
        <v>5.44</v>
      </c>
      <c r="I734" s="25">
        <v>6.4</v>
      </c>
      <c r="J734" s="25">
        <v>4.49</v>
      </c>
      <c r="K734" s="25">
        <v>5.0199999999999996</v>
      </c>
      <c r="L734" s="25">
        <v>3.27</v>
      </c>
      <c r="M734" s="33">
        <v>252.6</v>
      </c>
      <c r="N734" s="25"/>
      <c r="O734" s="31">
        <v>512.96</v>
      </c>
      <c r="P734" s="38">
        <v>155.4451</v>
      </c>
      <c r="Q734" s="24"/>
      <c r="R734" s="38">
        <v>0.22243599999999999</v>
      </c>
      <c r="T734" s="2"/>
      <c r="U734" s="2"/>
      <c r="V734" s="24"/>
      <c r="W734" s="24"/>
      <c r="X734" s="24"/>
      <c r="Y734" s="24"/>
      <c r="Z734" s="24"/>
      <c r="AA734" s="24"/>
      <c r="AB734" s="24"/>
      <c r="AC734" s="25"/>
      <c r="AD734" s="25"/>
      <c r="AE734" s="25"/>
      <c r="AF734" s="25"/>
      <c r="AG734" s="25"/>
      <c r="AH734" s="10"/>
      <c r="AI734" s="25"/>
      <c r="AJ734" s="25"/>
      <c r="AL734" s="3"/>
      <c r="AN734" s="9"/>
      <c r="AO734" s="9"/>
      <c r="AP734" s="9"/>
      <c r="AQ734" s="9"/>
      <c r="AR734" s="2"/>
      <c r="AS734" s="31"/>
    </row>
    <row r="735" spans="1:45">
      <c r="A735" s="13">
        <v>39417</v>
      </c>
      <c r="B735" s="3">
        <v>100.82</v>
      </c>
      <c r="C735" s="24">
        <v>146273</v>
      </c>
      <c r="D735" s="24">
        <v>138042</v>
      </c>
      <c r="E735" s="2">
        <v>5</v>
      </c>
      <c r="F735" s="33">
        <v>-6.0980000000000001E-3</v>
      </c>
      <c r="G735" s="33">
        <v>-8.6280000000000003E-3</v>
      </c>
      <c r="H735" s="25">
        <v>5.49</v>
      </c>
      <c r="I735" s="25">
        <v>6.65</v>
      </c>
      <c r="J735" s="25">
        <v>4.24</v>
      </c>
      <c r="K735" s="25">
        <v>5.17</v>
      </c>
      <c r="L735" s="25">
        <v>3</v>
      </c>
      <c r="M735" s="33">
        <v>246.8</v>
      </c>
      <c r="N735" s="25"/>
      <c r="O735" s="31">
        <v>501.82</v>
      </c>
      <c r="P735" s="38">
        <v>170.84360000000001</v>
      </c>
      <c r="Q735" s="24"/>
      <c r="R735" s="38">
        <v>0.39395000000000002</v>
      </c>
      <c r="T735" s="2"/>
      <c r="U735" s="2"/>
      <c r="V735" s="24"/>
      <c r="W735" s="24"/>
      <c r="X735" s="24"/>
      <c r="Y735" s="24"/>
      <c r="Z735" s="24"/>
      <c r="AA735" s="24"/>
      <c r="AB735" s="24"/>
      <c r="AC735" s="25"/>
      <c r="AD735" s="25"/>
      <c r="AE735" s="25"/>
      <c r="AF735" s="25"/>
      <c r="AG735" s="25"/>
      <c r="AH735" s="10"/>
      <c r="AI735" s="25"/>
      <c r="AJ735" s="25"/>
      <c r="AL735" s="3"/>
      <c r="AN735" s="9"/>
      <c r="AO735" s="9"/>
      <c r="AP735" s="9"/>
      <c r="AQ735" s="9"/>
      <c r="AR735" s="2"/>
      <c r="AS735" s="31"/>
    </row>
    <row r="736" spans="1:45">
      <c r="A736" s="13">
        <v>39448</v>
      </c>
      <c r="B736" s="3">
        <v>100.4978</v>
      </c>
      <c r="C736" s="24">
        <v>146378</v>
      </c>
      <c r="D736" s="24">
        <v>138056</v>
      </c>
      <c r="E736" s="2">
        <v>5</v>
      </c>
      <c r="F736" s="33">
        <v>-6.1183000000000001E-2</v>
      </c>
      <c r="G736" s="33">
        <v>-6.1163000000000002E-2</v>
      </c>
      <c r="H736" s="25">
        <v>5.33</v>
      </c>
      <c r="I736" s="25">
        <v>6.54</v>
      </c>
      <c r="J736" s="25">
        <v>3.94</v>
      </c>
      <c r="K736" s="25">
        <v>3.95</v>
      </c>
      <c r="L736" s="25">
        <v>2.75</v>
      </c>
      <c r="M736" s="33">
        <v>253.5</v>
      </c>
      <c r="N736" s="25"/>
      <c r="O736" s="31">
        <v>504.32</v>
      </c>
      <c r="P736" s="38">
        <v>153.02430000000001</v>
      </c>
      <c r="Q736" s="24"/>
      <c r="R736" s="38">
        <v>0.68620199999999998</v>
      </c>
      <c r="T736" s="2"/>
      <c r="U736" s="2"/>
      <c r="V736" s="24"/>
      <c r="W736" s="24"/>
      <c r="X736" s="24"/>
      <c r="Y736" s="24"/>
      <c r="Z736" s="24"/>
      <c r="AA736" s="24"/>
      <c r="AB736" s="24"/>
      <c r="AC736" s="25"/>
      <c r="AD736" s="25"/>
      <c r="AE736" s="25"/>
      <c r="AF736" s="25"/>
      <c r="AG736" s="25"/>
      <c r="AH736" s="10"/>
      <c r="AI736" s="25"/>
      <c r="AJ736" s="25"/>
      <c r="AL736" s="3"/>
      <c r="AN736" s="9"/>
      <c r="AO736" s="9"/>
      <c r="AP736" s="9"/>
      <c r="AQ736" s="9"/>
      <c r="AR736" s="2"/>
      <c r="AS736" s="31"/>
    </row>
    <row r="737" spans="1:45">
      <c r="A737" s="13">
        <v>39479</v>
      </c>
      <c r="B737" s="3">
        <v>100.3008</v>
      </c>
      <c r="C737" s="24">
        <v>146156</v>
      </c>
      <c r="D737" s="24">
        <v>137971</v>
      </c>
      <c r="E737" s="2">
        <v>4.9000000000000004</v>
      </c>
      <c r="F737" s="33">
        <v>-3.1408999999999999E-2</v>
      </c>
      <c r="G737" s="33">
        <v>-3.4761E-2</v>
      </c>
      <c r="H737" s="25">
        <v>5.53</v>
      </c>
      <c r="I737" s="25">
        <v>6.82</v>
      </c>
      <c r="J737" s="25">
        <v>2.98</v>
      </c>
      <c r="K737" s="25">
        <v>3.12</v>
      </c>
      <c r="L737" s="25">
        <v>2.12</v>
      </c>
      <c r="M737" s="33">
        <v>257</v>
      </c>
      <c r="N737" s="25"/>
      <c r="O737" s="31">
        <v>519.39</v>
      </c>
      <c r="P737" s="38">
        <v>119.5192</v>
      </c>
      <c r="Q737" s="24"/>
      <c r="R737" s="38">
        <v>0.85814900000000005</v>
      </c>
      <c r="T737" s="2"/>
      <c r="U737" s="2"/>
      <c r="V737" s="24"/>
      <c r="W737" s="24"/>
      <c r="X737" s="24"/>
      <c r="Y737" s="24"/>
      <c r="Z737" s="24"/>
      <c r="AA737" s="24"/>
      <c r="AB737" s="24"/>
      <c r="AC737" s="25"/>
      <c r="AD737" s="25"/>
      <c r="AE737" s="25"/>
      <c r="AF737" s="25"/>
      <c r="AG737" s="25"/>
      <c r="AH737" s="10"/>
      <c r="AI737" s="25"/>
      <c r="AJ737" s="25"/>
      <c r="AL737" s="3"/>
      <c r="AN737" s="9"/>
      <c r="AO737" s="9"/>
      <c r="AP737" s="9"/>
      <c r="AQ737" s="9"/>
      <c r="AR737" s="2"/>
      <c r="AS737" s="31"/>
    </row>
    <row r="738" spans="1:45">
      <c r="A738" s="13">
        <v>39508</v>
      </c>
      <c r="B738" s="3">
        <v>100.0078</v>
      </c>
      <c r="C738" s="24">
        <v>146086</v>
      </c>
      <c r="D738" s="24">
        <v>137892</v>
      </c>
      <c r="E738" s="2">
        <v>5.0999999999999996</v>
      </c>
      <c r="F738" s="33">
        <v>-3.3999999999999998E-3</v>
      </c>
      <c r="G738" s="33">
        <v>-5.96E-3</v>
      </c>
      <c r="H738" s="25">
        <v>5.51</v>
      </c>
      <c r="I738" s="25">
        <v>6.89</v>
      </c>
      <c r="J738" s="25">
        <v>2.61</v>
      </c>
      <c r="K738" s="25">
        <v>2.86</v>
      </c>
      <c r="L738" s="25">
        <v>1.26</v>
      </c>
      <c r="M738" s="33">
        <v>297.7</v>
      </c>
      <c r="N738" s="25"/>
      <c r="O738" s="31">
        <v>542.89</v>
      </c>
      <c r="P738" s="38">
        <v>139.54509999999999</v>
      </c>
      <c r="Q738" s="24"/>
      <c r="R738" s="38">
        <v>1.099213</v>
      </c>
      <c r="T738" s="2"/>
      <c r="U738" s="2"/>
      <c r="V738" s="24"/>
      <c r="W738" s="24"/>
      <c r="X738" s="24"/>
      <c r="Y738" s="24"/>
      <c r="Z738" s="24"/>
      <c r="AA738" s="24"/>
      <c r="AB738" s="24"/>
      <c r="AC738" s="25"/>
      <c r="AD738" s="25"/>
      <c r="AE738" s="25"/>
      <c r="AF738" s="25"/>
      <c r="AG738" s="25"/>
      <c r="AH738" s="10"/>
      <c r="AI738" s="25"/>
      <c r="AJ738" s="25"/>
      <c r="AL738" s="3"/>
      <c r="AN738" s="9"/>
      <c r="AO738" s="9"/>
      <c r="AP738" s="9"/>
      <c r="AQ738" s="9"/>
      <c r="AR738" s="2"/>
      <c r="AS738" s="31"/>
    </row>
    <row r="739" spans="1:45">
      <c r="A739" s="13">
        <v>39539</v>
      </c>
      <c r="B739" s="3">
        <v>99.2273</v>
      </c>
      <c r="C739" s="24">
        <v>146132</v>
      </c>
      <c r="D739" s="24">
        <v>137677</v>
      </c>
      <c r="E739" s="2">
        <v>5</v>
      </c>
      <c r="F739" s="33">
        <v>4.8628999999999999E-2</v>
      </c>
      <c r="G739" s="33">
        <v>4.7546999999999999E-2</v>
      </c>
      <c r="H739" s="25">
        <v>5.55</v>
      </c>
      <c r="I739" s="25">
        <v>6.97</v>
      </c>
      <c r="J739" s="25">
        <v>2.2799999999999998</v>
      </c>
      <c r="K739" s="25">
        <v>3.03</v>
      </c>
      <c r="L739" s="25">
        <v>1.29</v>
      </c>
      <c r="M739" s="33">
        <v>314.39999999999998</v>
      </c>
      <c r="N739" s="25"/>
      <c r="O739" s="31">
        <v>527.26</v>
      </c>
      <c r="P739" s="38">
        <v>105.31</v>
      </c>
      <c r="Q739" s="24"/>
      <c r="R739" s="38">
        <v>0.59878699999999996</v>
      </c>
      <c r="T739" s="2"/>
      <c r="U739" s="2"/>
      <c r="V739" s="24"/>
      <c r="W739" s="24"/>
      <c r="X739" s="24"/>
      <c r="Y739" s="24"/>
      <c r="Z739" s="24"/>
      <c r="AA739" s="24"/>
      <c r="AB739" s="24"/>
      <c r="AC739" s="25"/>
      <c r="AD739" s="25"/>
      <c r="AE739" s="25"/>
      <c r="AF739" s="25"/>
      <c r="AG739" s="25"/>
      <c r="AH739" s="10"/>
      <c r="AI739" s="25"/>
      <c r="AJ739" s="25"/>
      <c r="AL739" s="3"/>
      <c r="AN739" s="9"/>
      <c r="AO739" s="9"/>
      <c r="AP739" s="9"/>
      <c r="AQ739" s="9"/>
      <c r="AR739" s="2"/>
      <c r="AS739" s="31"/>
    </row>
    <row r="740" spans="1:45">
      <c r="A740" s="13">
        <v>39569</v>
      </c>
      <c r="B740" s="3">
        <v>98.765199999999993</v>
      </c>
      <c r="C740" s="24">
        <v>145908</v>
      </c>
      <c r="D740" s="24">
        <v>137491</v>
      </c>
      <c r="E740" s="2">
        <v>5.4</v>
      </c>
      <c r="F740" s="33">
        <v>1.2985999999999999E-2</v>
      </c>
      <c r="G740" s="33">
        <v>1.0673999999999999E-2</v>
      </c>
      <c r="H740" s="25">
        <v>5.57</v>
      </c>
      <c r="I740" s="25">
        <v>6.93</v>
      </c>
      <c r="J740" s="25">
        <v>1.98</v>
      </c>
      <c r="K740" s="25">
        <v>2.84</v>
      </c>
      <c r="L740" s="25">
        <v>1.73</v>
      </c>
      <c r="M740" s="33">
        <v>349.5</v>
      </c>
      <c r="N740" s="25"/>
      <c r="O740" s="31">
        <v>514.52</v>
      </c>
      <c r="P740" s="38">
        <v>108.0102</v>
      </c>
      <c r="Q740" s="24"/>
      <c r="R740" s="38">
        <v>0.63261299999999998</v>
      </c>
      <c r="T740" s="2"/>
      <c r="U740" s="2"/>
      <c r="V740" s="24"/>
      <c r="W740" s="24"/>
      <c r="X740" s="24"/>
      <c r="Y740" s="24"/>
      <c r="Z740" s="24"/>
      <c r="AA740" s="24"/>
      <c r="AB740" s="24"/>
      <c r="AC740" s="25"/>
      <c r="AD740" s="25"/>
      <c r="AE740" s="25"/>
      <c r="AF740" s="25"/>
      <c r="AG740" s="25"/>
      <c r="AH740" s="10"/>
      <c r="AI740" s="25"/>
      <c r="AJ740" s="25"/>
      <c r="AL740" s="3"/>
      <c r="AN740" s="9"/>
      <c r="AO740" s="9"/>
      <c r="AP740" s="9"/>
      <c r="AQ740" s="9"/>
      <c r="AR740" s="2"/>
      <c r="AS740" s="31"/>
    </row>
    <row r="741" spans="1:45">
      <c r="A741" s="13">
        <v>39600</v>
      </c>
      <c r="B741" s="3">
        <v>98.563900000000004</v>
      </c>
      <c r="C741" s="24">
        <v>145737</v>
      </c>
      <c r="D741" s="24">
        <v>137322</v>
      </c>
      <c r="E741" s="2">
        <v>5.6</v>
      </c>
      <c r="F741" s="33">
        <v>-8.2819000000000004E-2</v>
      </c>
      <c r="G741" s="33">
        <v>-8.5961999999999997E-2</v>
      </c>
      <c r="H741" s="25">
        <v>5.68</v>
      </c>
      <c r="I741" s="25">
        <v>7.07</v>
      </c>
      <c r="J741" s="25">
        <v>2</v>
      </c>
      <c r="K741" s="25">
        <v>2.95</v>
      </c>
      <c r="L741" s="25">
        <v>1.86</v>
      </c>
      <c r="M741" s="33">
        <v>367.5</v>
      </c>
      <c r="N741" s="25"/>
      <c r="O741" s="31">
        <v>497.82</v>
      </c>
      <c r="P741" s="38">
        <v>87.594939999999994</v>
      </c>
      <c r="Q741" s="24"/>
      <c r="R741" s="38">
        <v>0.70977500000000004</v>
      </c>
      <c r="T741" s="2"/>
      <c r="U741" s="2"/>
      <c r="V741" s="24"/>
      <c r="W741" s="24"/>
      <c r="X741" s="24"/>
      <c r="Y741" s="24"/>
      <c r="Z741" s="24"/>
      <c r="AA741" s="24"/>
      <c r="AB741" s="24"/>
      <c r="AC741" s="25"/>
      <c r="AD741" s="25"/>
      <c r="AE741" s="25"/>
      <c r="AF741" s="25"/>
      <c r="AG741" s="25"/>
      <c r="AH741" s="10"/>
      <c r="AI741" s="25"/>
      <c r="AJ741" s="25"/>
      <c r="AL741" s="3"/>
      <c r="AN741" s="9"/>
      <c r="AO741" s="9"/>
      <c r="AP741" s="9"/>
      <c r="AQ741" s="9"/>
      <c r="AR741" s="2"/>
      <c r="AS741" s="31"/>
    </row>
    <row r="742" spans="1:45">
      <c r="A742" s="13">
        <v>39630</v>
      </c>
      <c r="B742" s="3">
        <v>98.118200000000002</v>
      </c>
      <c r="C742" s="24">
        <v>145532</v>
      </c>
      <c r="D742" s="24">
        <v>137106</v>
      </c>
      <c r="E742" s="2">
        <v>5.8</v>
      </c>
      <c r="F742" s="33">
        <v>-7.3090000000000004E-3</v>
      </c>
      <c r="G742" s="33">
        <v>-9.8589999999999997E-3</v>
      </c>
      <c r="H742" s="25">
        <v>5.67</v>
      </c>
      <c r="I742" s="25">
        <v>7.16</v>
      </c>
      <c r="J742" s="25">
        <v>2.0099999999999998</v>
      </c>
      <c r="K742" s="25">
        <v>3</v>
      </c>
      <c r="L742" s="25">
        <v>1.63</v>
      </c>
      <c r="M742" s="33">
        <v>384.3</v>
      </c>
      <c r="N742" s="25"/>
      <c r="O742" s="31">
        <v>494.96</v>
      </c>
      <c r="P742" s="38">
        <v>128.3398</v>
      </c>
      <c r="Q742" s="24"/>
      <c r="R742" s="38">
        <v>1.061137</v>
      </c>
      <c r="T742" s="2"/>
      <c r="U742" s="2"/>
      <c r="V742" s="24"/>
      <c r="W742" s="24"/>
      <c r="X742" s="24"/>
      <c r="Y742" s="24"/>
      <c r="Z742" s="24"/>
      <c r="AA742" s="24"/>
      <c r="AB742" s="24"/>
      <c r="AC742" s="25"/>
      <c r="AD742" s="25"/>
      <c r="AE742" s="25"/>
      <c r="AF742" s="25"/>
      <c r="AG742" s="25"/>
      <c r="AH742" s="10"/>
      <c r="AI742" s="25"/>
      <c r="AJ742" s="25"/>
      <c r="AL742" s="3"/>
      <c r="AN742" s="9"/>
      <c r="AO742" s="9"/>
      <c r="AP742" s="9"/>
      <c r="AQ742" s="9"/>
      <c r="AR742" s="2"/>
      <c r="AS742" s="31"/>
    </row>
    <row r="743" spans="1:45">
      <c r="A743" s="13">
        <v>39661</v>
      </c>
      <c r="B743" s="3">
        <v>96.545699999999997</v>
      </c>
      <c r="C743" s="24">
        <v>145203</v>
      </c>
      <c r="D743" s="24">
        <v>136836</v>
      </c>
      <c r="E743" s="2">
        <v>6.1</v>
      </c>
      <c r="F743" s="33">
        <v>1.4955E-2</v>
      </c>
      <c r="G743" s="33">
        <v>1.2191E-2</v>
      </c>
      <c r="H743" s="25">
        <v>5.64</v>
      </c>
      <c r="I743" s="25">
        <v>7.15</v>
      </c>
      <c r="J743" s="25">
        <v>2</v>
      </c>
      <c r="K743" s="25">
        <v>3</v>
      </c>
      <c r="L743" s="25">
        <v>1.72</v>
      </c>
      <c r="M743" s="33">
        <v>321.60000000000002</v>
      </c>
      <c r="N743" s="25"/>
      <c r="O743" s="31">
        <v>475.59</v>
      </c>
      <c r="P743" s="38">
        <v>94.507130000000004</v>
      </c>
      <c r="Q743" s="24"/>
      <c r="R743" s="38">
        <v>1.1569609999999999</v>
      </c>
      <c r="T743" s="2"/>
      <c r="U743" s="2"/>
      <c r="V743" s="24"/>
      <c r="W743" s="24"/>
      <c r="X743" s="24"/>
      <c r="Y743" s="24"/>
      <c r="Z743" s="24"/>
      <c r="AA743" s="24"/>
      <c r="AB743" s="24"/>
      <c r="AC743" s="25"/>
      <c r="AD743" s="25"/>
      <c r="AE743" s="25"/>
      <c r="AF743" s="25"/>
      <c r="AG743" s="25"/>
      <c r="AH743" s="10"/>
      <c r="AI743" s="25"/>
      <c r="AJ743" s="25"/>
      <c r="AL743" s="3"/>
      <c r="AN743" s="9"/>
      <c r="AO743" s="9"/>
      <c r="AP743" s="9"/>
      <c r="AQ743" s="9"/>
      <c r="AR743" s="2"/>
      <c r="AS743" s="31"/>
    </row>
    <row r="744" spans="1:45">
      <c r="A744" s="13">
        <v>39692</v>
      </c>
      <c r="B744" s="3">
        <v>92.479500000000002</v>
      </c>
      <c r="C744" s="24">
        <v>145076</v>
      </c>
      <c r="D744" s="24">
        <v>136377</v>
      </c>
      <c r="E744" s="2">
        <v>6.1</v>
      </c>
      <c r="F744" s="33">
        <v>-8.5467000000000001E-2</v>
      </c>
      <c r="G744" s="33">
        <v>-9.0790999999999997E-2</v>
      </c>
      <c r="H744" s="25">
        <v>5.65</v>
      </c>
      <c r="I744" s="25">
        <v>7.31</v>
      </c>
      <c r="J744" s="25">
        <v>1.81</v>
      </c>
      <c r="K744" s="25">
        <v>3.95</v>
      </c>
      <c r="L744" s="25">
        <v>1.1299999999999999</v>
      </c>
      <c r="M744" s="33">
        <v>291.5</v>
      </c>
      <c r="N744" s="25"/>
      <c r="O744" s="31">
        <v>453.84</v>
      </c>
      <c r="P744" s="38">
        <v>209.34379999999999</v>
      </c>
      <c r="Q744" s="24"/>
      <c r="R744" s="38">
        <v>1.4974149999999999</v>
      </c>
      <c r="T744" s="2"/>
      <c r="U744" s="2"/>
      <c r="V744" s="24"/>
      <c r="W744" s="24"/>
      <c r="X744" s="24"/>
      <c r="Y744" s="24"/>
      <c r="Z744" s="24"/>
      <c r="AA744" s="24"/>
      <c r="AB744" s="24"/>
      <c r="AC744" s="25"/>
      <c r="AD744" s="25"/>
      <c r="AE744" s="25"/>
      <c r="AF744" s="25"/>
      <c r="AG744" s="25"/>
      <c r="AH744" s="10"/>
      <c r="AI744" s="25"/>
      <c r="AJ744" s="25"/>
      <c r="AL744" s="3"/>
      <c r="AN744" s="9"/>
      <c r="AO744" s="9"/>
      <c r="AP744" s="9"/>
      <c r="AQ744" s="9"/>
      <c r="AR744" s="2"/>
      <c r="AS744" s="31"/>
    </row>
    <row r="745" spans="1:45">
      <c r="A745" s="13">
        <v>39722</v>
      </c>
      <c r="B745" s="3">
        <v>93.245000000000005</v>
      </c>
      <c r="C745" s="24">
        <v>144802</v>
      </c>
      <c r="D745" s="24">
        <v>135905</v>
      </c>
      <c r="E745" s="2">
        <v>6.5</v>
      </c>
      <c r="F745" s="33">
        <v>-0.16697899999999999</v>
      </c>
      <c r="G745" s="33">
        <v>-0.16942499999999999</v>
      </c>
      <c r="H745" s="25">
        <v>6.28</v>
      </c>
      <c r="I745" s="25">
        <v>8.8800000000000008</v>
      </c>
      <c r="J745" s="25">
        <v>0.97</v>
      </c>
      <c r="K745" s="25">
        <v>5.31</v>
      </c>
      <c r="L745" s="25">
        <v>0.67</v>
      </c>
      <c r="M745" s="33">
        <v>215.6</v>
      </c>
      <c r="N745" s="25"/>
      <c r="O745" s="31">
        <v>397.38</v>
      </c>
      <c r="P745" s="38">
        <v>207.52979999999999</v>
      </c>
      <c r="Q745" s="24"/>
      <c r="R745" s="38">
        <v>2.9637630000000001</v>
      </c>
      <c r="T745" s="2"/>
      <c r="U745" s="2"/>
      <c r="V745" s="24"/>
      <c r="W745" s="24"/>
      <c r="X745" s="24"/>
      <c r="Y745" s="24"/>
      <c r="Z745" s="24"/>
      <c r="AA745" s="24"/>
      <c r="AB745" s="24"/>
      <c r="AC745" s="25"/>
      <c r="AD745" s="25"/>
      <c r="AE745" s="25"/>
      <c r="AF745" s="25"/>
      <c r="AG745" s="25"/>
      <c r="AH745" s="10"/>
      <c r="AI745" s="25"/>
      <c r="AJ745" s="25"/>
      <c r="AL745" s="3"/>
      <c r="AN745" s="9"/>
      <c r="AO745" s="9"/>
      <c r="AP745" s="9"/>
      <c r="AQ745" s="9"/>
      <c r="AR745" s="2"/>
      <c r="AS745" s="31"/>
    </row>
    <row r="746" spans="1:45">
      <c r="A746" s="13">
        <v>39753</v>
      </c>
      <c r="B746" s="3">
        <v>92.164299999999997</v>
      </c>
      <c r="C746" s="24">
        <v>144100</v>
      </c>
      <c r="D746" s="24">
        <v>135130</v>
      </c>
      <c r="E746" s="2">
        <v>6.8</v>
      </c>
      <c r="F746" s="33">
        <v>-7.3511999999999994E-2</v>
      </c>
      <c r="G746" s="33">
        <v>-7.4848999999999999E-2</v>
      </c>
      <c r="H746" s="25">
        <v>6.12</v>
      </c>
      <c r="I746" s="25">
        <v>9.2100000000000009</v>
      </c>
      <c r="J746" s="25">
        <v>0.39</v>
      </c>
      <c r="K746" s="25">
        <v>3.11</v>
      </c>
      <c r="L746" s="25">
        <v>0.19</v>
      </c>
      <c r="M746" s="33">
        <v>150.9</v>
      </c>
      <c r="N746" s="25"/>
      <c r="O746" s="31">
        <v>351.63</v>
      </c>
      <c r="P746" s="38">
        <v>140.33019999999999</v>
      </c>
      <c r="Q746" s="24"/>
      <c r="R746" s="38">
        <v>2.0017839999999998</v>
      </c>
      <c r="T746" s="2"/>
      <c r="U746" s="2"/>
      <c r="V746" s="24"/>
      <c r="W746" s="24"/>
      <c r="X746" s="24"/>
      <c r="Y746" s="24"/>
      <c r="Z746" s="24"/>
      <c r="AA746" s="24"/>
      <c r="AB746" s="24"/>
      <c r="AC746" s="25"/>
      <c r="AD746" s="25"/>
      <c r="AE746" s="25"/>
      <c r="AF746" s="25"/>
      <c r="AG746" s="25"/>
      <c r="AH746" s="10"/>
      <c r="AI746" s="25"/>
      <c r="AJ746" s="25"/>
      <c r="AL746" s="3"/>
      <c r="AN746" s="9"/>
      <c r="AO746" s="9"/>
      <c r="AP746" s="9"/>
      <c r="AQ746" s="9"/>
      <c r="AR746" s="2"/>
      <c r="AS746" s="31"/>
    </row>
    <row r="747" spans="1:45">
      <c r="A747" s="13">
        <v>39783</v>
      </c>
      <c r="B747" s="3">
        <v>89.563100000000006</v>
      </c>
      <c r="C747" s="24">
        <v>143369</v>
      </c>
      <c r="D747" s="24">
        <v>134425</v>
      </c>
      <c r="E747" s="2">
        <v>7.3</v>
      </c>
      <c r="F747" s="33">
        <v>1.1995E-2</v>
      </c>
      <c r="G747" s="33">
        <v>7.8220000000000008E-3</v>
      </c>
      <c r="H747" s="25">
        <v>5.05</v>
      </c>
      <c r="I747" s="25">
        <v>8.43</v>
      </c>
      <c r="J747" s="25">
        <v>0.16</v>
      </c>
      <c r="K747" s="25">
        <v>2.4700000000000002</v>
      </c>
      <c r="L747" s="25">
        <v>0.03</v>
      </c>
      <c r="M747" s="33">
        <v>104.5</v>
      </c>
      <c r="N747" s="25"/>
      <c r="O747" s="31">
        <v>323.79000000000002</v>
      </c>
      <c r="P747" s="38">
        <v>172.09280000000001</v>
      </c>
      <c r="Q747" s="24"/>
      <c r="R747" s="38">
        <v>2.2479870000000002</v>
      </c>
      <c r="T747" s="2"/>
      <c r="U747" s="2"/>
      <c r="V747" s="24"/>
      <c r="W747" s="24"/>
      <c r="X747" s="24"/>
      <c r="Y747" s="24"/>
      <c r="Z747" s="24"/>
      <c r="AA747" s="24"/>
      <c r="AB747" s="24"/>
      <c r="AC747" s="25"/>
      <c r="AD747" s="25"/>
      <c r="AE747" s="25"/>
      <c r="AF747" s="25"/>
      <c r="AG747" s="25"/>
      <c r="AH747" s="10"/>
      <c r="AI747" s="25"/>
      <c r="AJ747" s="25"/>
      <c r="AL747" s="3"/>
      <c r="AN747" s="9"/>
      <c r="AO747" s="9"/>
      <c r="AP747" s="9"/>
      <c r="AQ747" s="9"/>
      <c r="AR747" s="2"/>
      <c r="AS747" s="31"/>
    </row>
    <row r="748" spans="1:45">
      <c r="A748" s="13">
        <v>39814</v>
      </c>
      <c r="B748" s="3">
        <v>87.548100000000005</v>
      </c>
      <c r="C748" s="24">
        <v>142153</v>
      </c>
      <c r="D748" s="24">
        <v>133631</v>
      </c>
      <c r="E748" s="2">
        <v>7.8</v>
      </c>
      <c r="F748" s="33">
        <v>-8.2614999999999994E-2</v>
      </c>
      <c r="G748" s="33">
        <v>-8.5656999999999997E-2</v>
      </c>
      <c r="H748" s="25">
        <v>5.05</v>
      </c>
      <c r="I748" s="25">
        <v>8.14</v>
      </c>
      <c r="J748" s="25">
        <v>0.15</v>
      </c>
      <c r="K748" s="25">
        <v>1.73</v>
      </c>
      <c r="L748" s="25">
        <v>0.13</v>
      </c>
      <c r="M748" s="33">
        <v>94.9</v>
      </c>
      <c r="N748" s="25"/>
      <c r="O748" s="31">
        <v>338.88</v>
      </c>
      <c r="P748" s="38">
        <v>157.32230000000001</v>
      </c>
      <c r="Q748" s="24"/>
      <c r="R748" s="38">
        <v>2.1841200000000001</v>
      </c>
      <c r="T748" s="2"/>
      <c r="U748" s="2"/>
      <c r="V748" s="24"/>
      <c r="W748" s="24"/>
      <c r="X748" s="24"/>
      <c r="Y748" s="24"/>
      <c r="Z748" s="24"/>
      <c r="AA748" s="24"/>
      <c r="AB748" s="24"/>
      <c r="AC748" s="25"/>
      <c r="AD748" s="25"/>
      <c r="AE748" s="25"/>
      <c r="AF748" s="25"/>
      <c r="AG748" s="25"/>
      <c r="AH748" s="10"/>
      <c r="AI748" s="25"/>
      <c r="AJ748" s="25"/>
      <c r="AL748" s="3"/>
      <c r="AN748" s="9"/>
      <c r="AO748" s="9"/>
      <c r="AP748" s="9"/>
      <c r="AQ748" s="9"/>
      <c r="AR748" s="2"/>
      <c r="AS748" s="31"/>
    </row>
    <row r="749" spans="1:45">
      <c r="A749" s="13">
        <v>39845</v>
      </c>
      <c r="B749" s="3">
        <v>86.987099999999998</v>
      </c>
      <c r="C749" s="24">
        <v>141644</v>
      </c>
      <c r="D749" s="24">
        <v>132936</v>
      </c>
      <c r="E749" s="2">
        <v>8.3000000000000007</v>
      </c>
      <c r="F749" s="33">
        <v>-0.103584</v>
      </c>
      <c r="G749" s="33">
        <v>-0.109931</v>
      </c>
      <c r="H749" s="25">
        <v>5.27</v>
      </c>
      <c r="I749" s="25">
        <v>8.08</v>
      </c>
      <c r="J749" s="25">
        <v>0.22</v>
      </c>
      <c r="K749" s="25">
        <v>1.65</v>
      </c>
      <c r="L749" s="25">
        <v>0.3</v>
      </c>
      <c r="M749" s="33">
        <v>95.9</v>
      </c>
      <c r="N749" s="25"/>
      <c r="O749" s="31">
        <v>338.5</v>
      </c>
      <c r="P749" s="38">
        <v>171.64349999999999</v>
      </c>
      <c r="Q749" s="24"/>
      <c r="R749" s="38">
        <v>2.6106370000000001</v>
      </c>
      <c r="T749" s="2"/>
      <c r="U749" s="2"/>
      <c r="V749" s="24"/>
      <c r="W749" s="24"/>
      <c r="X749" s="24"/>
      <c r="Y749" s="24"/>
      <c r="Z749" s="24"/>
      <c r="AA749" s="24"/>
      <c r="AB749" s="24"/>
      <c r="AC749" s="25"/>
      <c r="AD749" s="25"/>
      <c r="AE749" s="25"/>
      <c r="AF749" s="25"/>
      <c r="AG749" s="25"/>
      <c r="AH749" s="10"/>
      <c r="AI749" s="25"/>
      <c r="AJ749" s="25"/>
      <c r="AL749" s="3"/>
      <c r="AN749" s="9"/>
      <c r="AO749" s="9"/>
      <c r="AP749" s="9"/>
      <c r="AQ749" s="9"/>
      <c r="AR749" s="2"/>
      <c r="AS749" s="31"/>
    </row>
    <row r="750" spans="1:45">
      <c r="A750" s="13">
        <v>39873</v>
      </c>
      <c r="B750" s="3">
        <v>85.650899999999993</v>
      </c>
      <c r="C750" s="24">
        <v>140721</v>
      </c>
      <c r="D750" s="24">
        <v>132106</v>
      </c>
      <c r="E750" s="2">
        <v>8.6999999999999993</v>
      </c>
      <c r="F750" s="33">
        <v>8.7634000000000004E-2</v>
      </c>
      <c r="G750" s="33">
        <v>8.5404999999999995E-2</v>
      </c>
      <c r="H750" s="25">
        <v>5.5</v>
      </c>
      <c r="I750" s="25">
        <v>8.42</v>
      </c>
      <c r="J750" s="25">
        <v>0.18</v>
      </c>
      <c r="K750" s="25">
        <v>1.63</v>
      </c>
      <c r="L750" s="25">
        <v>0.21</v>
      </c>
      <c r="M750" s="33">
        <v>122.6</v>
      </c>
      <c r="N750" s="25"/>
      <c r="O750" s="31">
        <v>331.83</v>
      </c>
      <c r="P750" s="38">
        <v>148.0968</v>
      </c>
      <c r="Q750" s="24"/>
      <c r="R750" s="38">
        <v>2.147319</v>
      </c>
      <c r="T750" s="2"/>
      <c r="U750" s="2"/>
      <c r="V750" s="24"/>
      <c r="W750" s="24"/>
      <c r="X750" s="24"/>
      <c r="Y750" s="24"/>
      <c r="Z750" s="24"/>
      <c r="AA750" s="24"/>
      <c r="AB750" s="24"/>
      <c r="AC750" s="25"/>
      <c r="AD750" s="25"/>
      <c r="AE750" s="25"/>
      <c r="AF750" s="25"/>
      <c r="AG750" s="25"/>
      <c r="AH750" s="10"/>
      <c r="AI750" s="25"/>
      <c r="AJ750" s="25"/>
      <c r="AL750" s="3"/>
      <c r="AN750" s="9"/>
      <c r="AO750" s="9"/>
      <c r="AP750" s="9"/>
      <c r="AQ750" s="9"/>
      <c r="AR750" s="2"/>
      <c r="AS750" s="31"/>
    </row>
    <row r="751" spans="1:45">
      <c r="A751" s="13">
        <v>39904</v>
      </c>
      <c r="B751" s="3">
        <v>84.933199999999999</v>
      </c>
      <c r="C751" s="24">
        <v>140652</v>
      </c>
      <c r="D751" s="24">
        <v>131402</v>
      </c>
      <c r="E751" s="2">
        <v>9</v>
      </c>
      <c r="F751" s="33">
        <v>9.4229999999999994E-2</v>
      </c>
      <c r="G751" s="33">
        <v>9.3924999999999995E-2</v>
      </c>
      <c r="H751" s="25">
        <v>5.39</v>
      </c>
      <c r="I751" s="25">
        <v>8.39</v>
      </c>
      <c r="J751" s="25">
        <v>0.15</v>
      </c>
      <c r="K751" s="25">
        <v>1.49</v>
      </c>
      <c r="L751" s="25">
        <v>0.16</v>
      </c>
      <c r="M751" s="33">
        <v>132.5</v>
      </c>
      <c r="N751" s="25"/>
      <c r="O751" s="31">
        <v>354.75</v>
      </c>
      <c r="P751" s="38">
        <v>127.50149999999999</v>
      </c>
      <c r="Q751" s="24"/>
      <c r="R751" s="38">
        <v>1.9360580000000001</v>
      </c>
      <c r="T751" s="2"/>
      <c r="U751" s="2"/>
      <c r="V751" s="24"/>
      <c r="W751" s="24"/>
      <c r="X751" s="24"/>
      <c r="Y751" s="24"/>
      <c r="Z751" s="24"/>
      <c r="AA751" s="24"/>
      <c r="AB751" s="24"/>
      <c r="AC751" s="25"/>
      <c r="AD751" s="25"/>
      <c r="AE751" s="25"/>
      <c r="AF751" s="25"/>
      <c r="AG751" s="25"/>
      <c r="AH751" s="10"/>
      <c r="AI751" s="25"/>
      <c r="AJ751" s="25"/>
      <c r="AL751" s="3"/>
      <c r="AN751" s="9"/>
      <c r="AO751" s="9"/>
      <c r="AP751" s="9"/>
      <c r="AQ751" s="9"/>
      <c r="AR751" s="2"/>
      <c r="AS751" s="31"/>
    </row>
    <row r="752" spans="1:45">
      <c r="A752" s="13">
        <v>39934</v>
      </c>
      <c r="B752" s="3">
        <v>84.066699999999997</v>
      </c>
      <c r="C752" s="24">
        <v>140250</v>
      </c>
      <c r="D752" s="24">
        <v>131050</v>
      </c>
      <c r="E752" s="2">
        <v>9.4</v>
      </c>
      <c r="F752" s="33">
        <v>5.4640000000000001E-2</v>
      </c>
      <c r="G752" s="33">
        <v>5.3081000000000003E-2</v>
      </c>
      <c r="H752" s="25">
        <v>5.54</v>
      </c>
      <c r="I752" s="25">
        <v>8.06</v>
      </c>
      <c r="J752" s="25">
        <v>0.18</v>
      </c>
      <c r="K752" s="25">
        <v>1.3</v>
      </c>
      <c r="L752" s="25">
        <v>0.18</v>
      </c>
      <c r="M752" s="33">
        <v>157.5</v>
      </c>
      <c r="N752" s="25"/>
      <c r="O752" s="31">
        <v>378.15</v>
      </c>
      <c r="P752" s="38">
        <v>119.8432</v>
      </c>
      <c r="Q752" s="24"/>
      <c r="R752" s="38">
        <v>0.99112500000000003</v>
      </c>
      <c r="T752" s="2"/>
      <c r="U752" s="2"/>
      <c r="V752" s="24"/>
      <c r="W752" s="24"/>
      <c r="X752" s="24"/>
      <c r="Y752" s="24"/>
      <c r="Z752" s="24"/>
      <c r="AA752" s="24"/>
      <c r="AB752" s="24"/>
      <c r="AC752" s="25"/>
      <c r="AD752" s="25"/>
      <c r="AE752" s="25"/>
      <c r="AF752" s="25"/>
      <c r="AG752" s="25"/>
      <c r="AH752" s="10"/>
      <c r="AI752" s="25"/>
      <c r="AJ752" s="25"/>
      <c r="AL752" s="3"/>
      <c r="AO752" s="9"/>
      <c r="AP752" s="9"/>
      <c r="AQ752" s="9"/>
      <c r="AR752" s="2"/>
      <c r="AS752" s="31"/>
    </row>
    <row r="753" spans="1:45">
      <c r="A753" s="13">
        <v>39965</v>
      </c>
      <c r="B753" s="3">
        <v>83.757199999999997</v>
      </c>
      <c r="C753" s="24">
        <v>140005</v>
      </c>
      <c r="D753" s="24">
        <v>130578</v>
      </c>
      <c r="E753" s="2">
        <v>9.5</v>
      </c>
      <c r="F753" s="33">
        <v>2.4750000000000002E-3</v>
      </c>
      <c r="G753" s="33">
        <v>1.9599999999999999E-4</v>
      </c>
      <c r="H753" s="25">
        <v>5.61</v>
      </c>
      <c r="I753" s="25">
        <v>7.5</v>
      </c>
      <c r="J753" s="25">
        <v>0.21</v>
      </c>
      <c r="K753" s="25">
        <v>1.1299999999999999</v>
      </c>
      <c r="L753" s="25">
        <v>0.18</v>
      </c>
      <c r="M753" s="33">
        <v>189.2</v>
      </c>
      <c r="N753" s="25"/>
      <c r="O753" s="31">
        <v>402.41</v>
      </c>
      <c r="P753" s="38">
        <v>119.7398</v>
      </c>
      <c r="Q753" s="24"/>
      <c r="R753" s="38">
        <v>0.63912000000000002</v>
      </c>
      <c r="T753" s="2"/>
      <c r="U753" s="2"/>
      <c r="V753" s="24"/>
      <c r="W753" s="24"/>
      <c r="X753" s="24"/>
      <c r="Y753" s="24"/>
      <c r="Z753" s="24"/>
      <c r="AA753" s="24"/>
      <c r="AB753" s="24"/>
      <c r="AC753" s="25"/>
      <c r="AD753" s="25"/>
      <c r="AE753" s="25"/>
      <c r="AF753" s="25"/>
      <c r="AG753" s="25"/>
      <c r="AH753" s="10"/>
      <c r="AI753" s="25"/>
      <c r="AJ753" s="25"/>
      <c r="AL753" s="3"/>
      <c r="AO753" s="9"/>
      <c r="AP753" s="9"/>
      <c r="AQ753" s="9"/>
      <c r="AR753" s="2"/>
      <c r="AS753" s="31"/>
    </row>
    <row r="754" spans="1:45">
      <c r="A754" s="13">
        <v>39995</v>
      </c>
      <c r="B754" s="3">
        <v>84.4816</v>
      </c>
      <c r="C754" s="24">
        <v>139898</v>
      </c>
      <c r="D754" s="24">
        <v>130227</v>
      </c>
      <c r="E754" s="2">
        <v>9.5</v>
      </c>
      <c r="F754" s="33">
        <v>7.4482000000000007E-2</v>
      </c>
      <c r="G754" s="33">
        <v>7.4142E-2</v>
      </c>
      <c r="H754" s="25">
        <v>5.41</v>
      </c>
      <c r="I754" s="25">
        <v>7.09</v>
      </c>
      <c r="J754" s="25">
        <v>0.16</v>
      </c>
      <c r="K754" s="25">
        <v>0.91</v>
      </c>
      <c r="L754" s="25">
        <v>0.18</v>
      </c>
      <c r="M754" s="33">
        <v>160.6</v>
      </c>
      <c r="N754" s="25"/>
      <c r="O754" s="31">
        <v>414.18</v>
      </c>
      <c r="P754" s="38">
        <v>107.05200000000001</v>
      </c>
      <c r="Q754" s="24"/>
      <c r="R754" s="38">
        <v>8.3385000000000001E-2</v>
      </c>
      <c r="T754" s="2"/>
      <c r="U754" s="2"/>
      <c r="V754" s="24"/>
      <c r="W754" s="24"/>
      <c r="X754" s="24"/>
      <c r="Y754" s="24"/>
      <c r="Z754" s="24"/>
      <c r="AA754" s="24"/>
      <c r="AB754" s="24"/>
      <c r="AC754" s="25"/>
      <c r="AD754" s="25"/>
      <c r="AE754" s="25"/>
      <c r="AF754" s="25"/>
      <c r="AG754" s="25"/>
      <c r="AH754" s="10"/>
      <c r="AI754" s="25"/>
      <c r="AJ754" s="25"/>
      <c r="AL754" s="3"/>
      <c r="AO754" s="9"/>
      <c r="AP754" s="9"/>
      <c r="AQ754" s="9"/>
      <c r="AR754" s="2"/>
      <c r="AS754" s="31"/>
    </row>
    <row r="755" spans="1:45">
      <c r="A755" s="13">
        <v>40026</v>
      </c>
      <c r="B755" s="3">
        <v>85.371399999999994</v>
      </c>
      <c r="C755" s="24">
        <v>139481</v>
      </c>
      <c r="D755" s="24">
        <v>130017</v>
      </c>
      <c r="E755" s="2">
        <v>9.6</v>
      </c>
      <c r="F755" s="33">
        <v>3.4756000000000002E-2</v>
      </c>
      <c r="G755" s="33">
        <v>3.356E-2</v>
      </c>
      <c r="H755" s="25">
        <v>5.26</v>
      </c>
      <c r="I755" s="25">
        <v>6.58</v>
      </c>
      <c r="J755" s="25">
        <v>0.16</v>
      </c>
      <c r="K755" s="25">
        <v>0.69</v>
      </c>
      <c r="L755" s="25">
        <v>0.17</v>
      </c>
      <c r="M755" s="33">
        <v>188.6</v>
      </c>
      <c r="N755" s="25"/>
      <c r="O755" s="31">
        <v>444.84</v>
      </c>
      <c r="P755" s="38">
        <v>120.98480000000001</v>
      </c>
      <c r="Q755" s="24"/>
      <c r="R755" s="38">
        <v>-0.22364999999999999</v>
      </c>
      <c r="T755" s="2"/>
      <c r="U755" s="2"/>
      <c r="V755" s="24"/>
      <c r="W755" s="24"/>
      <c r="X755" s="24"/>
      <c r="Y755" s="24"/>
      <c r="Z755" s="24"/>
      <c r="AA755" s="24"/>
      <c r="AB755" s="24"/>
      <c r="AC755" s="25"/>
      <c r="AD755" s="25"/>
      <c r="AE755" s="25"/>
      <c r="AF755" s="25"/>
      <c r="AG755" s="25"/>
      <c r="AH755" s="10"/>
      <c r="AI755" s="25"/>
      <c r="AJ755" s="25"/>
      <c r="AL755" s="3"/>
      <c r="AO755" s="9"/>
      <c r="AP755" s="9"/>
      <c r="AQ755" s="9"/>
      <c r="AR755" s="2"/>
      <c r="AS755" s="31"/>
    </row>
    <row r="756" spans="1:45">
      <c r="A756" s="13">
        <v>40057</v>
      </c>
      <c r="B756" s="3">
        <v>85.953199999999995</v>
      </c>
      <c r="C756" s="24">
        <v>138810</v>
      </c>
      <c r="D756" s="24">
        <v>129784</v>
      </c>
      <c r="E756" s="2">
        <v>9.8000000000000007</v>
      </c>
      <c r="F756" s="33">
        <v>3.6563999999999999E-2</v>
      </c>
      <c r="G756" s="33">
        <v>3.5722999999999998E-2</v>
      </c>
      <c r="H756" s="25">
        <v>5.13</v>
      </c>
      <c r="I756" s="25">
        <v>6.31</v>
      </c>
      <c r="J756" s="25">
        <v>0.15</v>
      </c>
      <c r="K756" s="25">
        <v>0.52</v>
      </c>
      <c r="L756" s="25">
        <v>0.12</v>
      </c>
      <c r="M756" s="33">
        <v>188.3</v>
      </c>
      <c r="N756" s="25"/>
      <c r="O756" s="31">
        <v>441.89</v>
      </c>
      <c r="P756" s="38">
        <v>118.3207</v>
      </c>
      <c r="Q756" s="24"/>
      <c r="R756" s="38">
        <v>-0.13667099999999999</v>
      </c>
      <c r="T756" s="2"/>
      <c r="U756" s="2"/>
      <c r="V756" s="24"/>
      <c r="W756" s="24"/>
      <c r="X756" s="24"/>
      <c r="Y756" s="24"/>
      <c r="Z756" s="24"/>
      <c r="AA756" s="24"/>
      <c r="AB756" s="24"/>
      <c r="AC756" s="25"/>
      <c r="AD756" s="25"/>
      <c r="AE756" s="25"/>
      <c r="AF756" s="25"/>
      <c r="AG756" s="25"/>
      <c r="AH756" s="10"/>
      <c r="AI756" s="25"/>
      <c r="AJ756" s="25"/>
      <c r="AL756" s="3"/>
      <c r="AO756" s="9"/>
      <c r="AP756" s="9"/>
      <c r="AQ756" s="9"/>
      <c r="AR756" s="2"/>
      <c r="AS756" s="31"/>
    </row>
    <row r="757" spans="1:45">
      <c r="A757" s="13">
        <v>40087</v>
      </c>
      <c r="B757" s="3">
        <v>86.223100000000002</v>
      </c>
      <c r="C757" s="24">
        <v>138421</v>
      </c>
      <c r="D757" s="24">
        <v>129614</v>
      </c>
      <c r="E757" s="2">
        <v>10</v>
      </c>
      <c r="F757" s="33">
        <v>-1.8259000000000001E-2</v>
      </c>
      <c r="G757" s="33">
        <v>-1.9761999999999998E-2</v>
      </c>
      <c r="H757" s="25">
        <v>5.15</v>
      </c>
      <c r="I757" s="25">
        <v>6.29</v>
      </c>
      <c r="J757" s="25">
        <v>0.12</v>
      </c>
      <c r="K757" s="25">
        <v>0.49</v>
      </c>
      <c r="L757" s="25">
        <v>7.0000000000000007E-2</v>
      </c>
      <c r="M757" s="33">
        <v>201.3</v>
      </c>
      <c r="N757" s="25"/>
      <c r="O757" s="31">
        <v>432.76</v>
      </c>
      <c r="P757" s="38">
        <v>121.9075</v>
      </c>
      <c r="Q757" s="24"/>
      <c r="R757" s="38">
        <v>-0.34109499999999998</v>
      </c>
      <c r="T757" s="2"/>
      <c r="U757" s="2"/>
      <c r="V757" s="24"/>
      <c r="W757" s="24"/>
      <c r="X757" s="24"/>
      <c r="Y757" s="24"/>
      <c r="Z757" s="24"/>
      <c r="AA757" s="24"/>
      <c r="AB757" s="24"/>
      <c r="AC757" s="25"/>
      <c r="AD757" s="25"/>
      <c r="AE757" s="25"/>
      <c r="AF757" s="25"/>
      <c r="AG757" s="25"/>
      <c r="AH757" s="10"/>
      <c r="AI757" s="25"/>
      <c r="AJ757" s="25"/>
      <c r="AL757" s="3"/>
      <c r="AO757" s="9"/>
      <c r="AP757" s="9"/>
      <c r="AQ757" s="9"/>
      <c r="AR757" s="2"/>
      <c r="AS757" s="31"/>
    </row>
    <row r="758" spans="1:45">
      <c r="A758" s="13">
        <v>40118</v>
      </c>
      <c r="B758" s="3">
        <v>86.639399999999995</v>
      </c>
      <c r="C758" s="24">
        <v>138665</v>
      </c>
      <c r="D758" s="24">
        <v>129593</v>
      </c>
      <c r="E758" s="2">
        <v>9.9</v>
      </c>
      <c r="F758" s="33">
        <v>6.0256999999999998E-2</v>
      </c>
      <c r="G758" s="33">
        <v>5.7363999999999998E-2</v>
      </c>
      <c r="H758" s="25">
        <v>5.19</v>
      </c>
      <c r="I758" s="25">
        <v>6.32</v>
      </c>
      <c r="J758" s="25">
        <v>0.12</v>
      </c>
      <c r="K758" s="25">
        <v>0.45</v>
      </c>
      <c r="L758" s="25">
        <v>0.05</v>
      </c>
      <c r="M758" s="33">
        <v>213.8</v>
      </c>
      <c r="N758" s="25"/>
      <c r="O758" s="31">
        <v>455.21</v>
      </c>
      <c r="P758" s="38">
        <v>123.2535</v>
      </c>
      <c r="Q758" s="24"/>
      <c r="R758" s="38">
        <v>-0.14153299999999999</v>
      </c>
      <c r="T758" s="2"/>
      <c r="U758" s="2"/>
      <c r="V758" s="24"/>
      <c r="W758" s="24"/>
      <c r="X758" s="24"/>
      <c r="Y758" s="24"/>
      <c r="Z758" s="24"/>
      <c r="AA758" s="24"/>
      <c r="AB758" s="24"/>
      <c r="AC758" s="25"/>
      <c r="AD758" s="25"/>
      <c r="AE758" s="25"/>
      <c r="AF758" s="25"/>
      <c r="AG758" s="25"/>
      <c r="AH758" s="10"/>
      <c r="AI758" s="25"/>
      <c r="AJ758" s="25"/>
      <c r="AL758" s="3"/>
      <c r="AO758" s="9"/>
      <c r="AP758" s="9"/>
      <c r="AQ758" s="9"/>
      <c r="AR758" s="2"/>
      <c r="AS758" s="31"/>
    </row>
    <row r="759" spans="1:45">
      <c r="A759" s="13">
        <v>40148</v>
      </c>
      <c r="B759" s="3">
        <v>87.043599999999998</v>
      </c>
      <c r="C759" s="24">
        <v>138025</v>
      </c>
      <c r="D759" s="24">
        <v>129373</v>
      </c>
      <c r="E759" s="2">
        <v>9.9</v>
      </c>
      <c r="F759" s="33">
        <v>1.8983E-2</v>
      </c>
      <c r="G759" s="33">
        <v>1.7770999999999999E-2</v>
      </c>
      <c r="H759" s="25">
        <v>5.26</v>
      </c>
      <c r="I759" s="25">
        <v>6.37</v>
      </c>
      <c r="J759" s="25">
        <v>0.12</v>
      </c>
      <c r="K759" s="25">
        <v>0.45</v>
      </c>
      <c r="L759" s="25">
        <v>0.05</v>
      </c>
      <c r="M759" s="33">
        <v>195.4</v>
      </c>
      <c r="N759" s="25"/>
      <c r="O759" s="31">
        <v>479.58</v>
      </c>
      <c r="P759" s="38">
        <v>124.98909999999999</v>
      </c>
      <c r="Q759" s="24"/>
      <c r="R759" s="38">
        <v>-0.56855299999999998</v>
      </c>
      <c r="T759" s="2"/>
      <c r="U759" s="2"/>
      <c r="V759" s="24"/>
      <c r="W759" s="24"/>
      <c r="X759" s="24"/>
      <c r="Y759" s="24"/>
      <c r="Z759" s="24"/>
      <c r="AA759" s="24"/>
      <c r="AB759" s="24"/>
      <c r="AC759" s="25"/>
      <c r="AD759" s="25"/>
      <c r="AE759" s="25"/>
      <c r="AF759" s="25"/>
      <c r="AG759" s="25"/>
      <c r="AH759" s="10"/>
      <c r="AI759" s="25"/>
      <c r="AJ759" s="25"/>
      <c r="AL759" s="3"/>
      <c r="AO759" s="9"/>
      <c r="AP759" s="9"/>
      <c r="AQ759" s="9"/>
      <c r="AR759" s="2"/>
      <c r="AS759" s="31"/>
    </row>
    <row r="760" spans="1:45">
      <c r="A760" s="13">
        <v>40179</v>
      </c>
      <c r="B760" s="3">
        <v>87.963999999999999</v>
      </c>
      <c r="C760" s="24">
        <v>138439</v>
      </c>
      <c r="D760" s="24">
        <v>129360</v>
      </c>
      <c r="E760" s="2">
        <v>9.8000000000000007</v>
      </c>
      <c r="F760" s="33">
        <v>-3.5750999999999998E-2</v>
      </c>
      <c r="G760" s="33">
        <v>-3.6974E-2</v>
      </c>
      <c r="H760" s="25">
        <v>5.26</v>
      </c>
      <c r="I760" s="25">
        <v>6.25</v>
      </c>
      <c r="J760" s="25">
        <v>0.11</v>
      </c>
      <c r="K760" s="25">
        <v>0.43</v>
      </c>
      <c r="L760" s="25">
        <v>0.06</v>
      </c>
      <c r="M760" s="33">
        <v>217.6</v>
      </c>
      <c r="N760" s="25"/>
      <c r="O760" s="31">
        <v>492.91</v>
      </c>
      <c r="P760" s="38">
        <v>141.26400000000001</v>
      </c>
      <c r="Q760" s="24"/>
      <c r="R760" s="38">
        <v>-0.22387899999999999</v>
      </c>
      <c r="T760" s="2"/>
      <c r="U760" s="2"/>
      <c r="V760" s="24"/>
      <c r="W760" s="24"/>
      <c r="X760" s="24"/>
      <c r="Y760" s="24"/>
      <c r="Z760" s="24"/>
      <c r="AA760" s="24"/>
      <c r="AB760" s="24"/>
      <c r="AC760" s="25"/>
      <c r="AD760" s="25"/>
      <c r="AE760" s="25"/>
      <c r="AF760" s="25"/>
      <c r="AG760" s="25"/>
      <c r="AH760" s="10"/>
      <c r="AI760" s="25"/>
      <c r="AJ760" s="25"/>
      <c r="AL760" s="3"/>
      <c r="AO760" s="9"/>
      <c r="AP760" s="9"/>
      <c r="AQ760" s="9"/>
      <c r="AR760" s="2"/>
      <c r="AS760" s="31"/>
    </row>
    <row r="761" spans="1:45">
      <c r="A761" s="13">
        <v>40210</v>
      </c>
      <c r="B761" s="3">
        <v>88.302099999999996</v>
      </c>
      <c r="C761" s="24">
        <v>138624</v>
      </c>
      <c r="D761" s="24">
        <v>129320</v>
      </c>
      <c r="E761" s="2">
        <v>9.8000000000000007</v>
      </c>
      <c r="F761" s="33">
        <v>3.0426000000000002E-2</v>
      </c>
      <c r="G761" s="33">
        <v>2.8514000000000001E-2</v>
      </c>
      <c r="H761" s="25">
        <v>5.35</v>
      </c>
      <c r="I761" s="25">
        <v>6.34</v>
      </c>
      <c r="J761" s="25">
        <v>0.13</v>
      </c>
      <c r="K761" s="25">
        <v>0.4</v>
      </c>
      <c r="L761" s="25">
        <v>0.11</v>
      </c>
      <c r="M761" s="33">
        <v>204.8</v>
      </c>
      <c r="N761" s="25"/>
      <c r="O761" s="31">
        <v>476.04</v>
      </c>
      <c r="P761" s="38">
        <v>132.3552</v>
      </c>
      <c r="Q761" s="24"/>
      <c r="R761" s="38">
        <v>4.2469E-2</v>
      </c>
      <c r="T761" s="2"/>
      <c r="U761" s="2"/>
      <c r="V761" s="24"/>
      <c r="W761" s="24"/>
      <c r="X761" s="24"/>
      <c r="Y761" s="24"/>
      <c r="Z761" s="24"/>
      <c r="AA761" s="24"/>
      <c r="AB761" s="24"/>
      <c r="AC761" s="25"/>
      <c r="AD761" s="25"/>
      <c r="AE761" s="25"/>
      <c r="AF761" s="25"/>
      <c r="AG761" s="25"/>
      <c r="AH761" s="10"/>
      <c r="AI761" s="25"/>
      <c r="AJ761" s="25"/>
      <c r="AL761" s="3"/>
      <c r="AO761" s="9"/>
      <c r="AP761" s="9"/>
      <c r="AQ761" s="9"/>
      <c r="AR761" s="2"/>
      <c r="AS761" s="31"/>
    </row>
    <row r="762" spans="1:45">
      <c r="A762" s="13">
        <v>40238</v>
      </c>
      <c r="B762" s="3">
        <v>88.970500000000001</v>
      </c>
      <c r="C762" s="24">
        <v>138767</v>
      </c>
      <c r="D762" s="24">
        <v>129474</v>
      </c>
      <c r="E762" s="2">
        <v>9.9</v>
      </c>
      <c r="F762" s="33">
        <v>6.1013999999999999E-2</v>
      </c>
      <c r="G762" s="33">
        <v>5.8796000000000001E-2</v>
      </c>
      <c r="H762" s="25">
        <v>5.27</v>
      </c>
      <c r="I762" s="25">
        <v>6.27</v>
      </c>
      <c r="J762" s="25">
        <v>0.16</v>
      </c>
      <c r="K762" s="25">
        <v>0.4</v>
      </c>
      <c r="L762" s="25">
        <v>0.15</v>
      </c>
      <c r="M762" s="33">
        <v>223.3</v>
      </c>
      <c r="N762" s="25"/>
      <c r="O762" s="31">
        <v>499.55</v>
      </c>
      <c r="P762" s="38">
        <v>150.0626</v>
      </c>
      <c r="Q762" s="24"/>
      <c r="R762" s="38">
        <v>-9.1019000000000003E-2</v>
      </c>
      <c r="T762" s="2"/>
      <c r="U762" s="2"/>
      <c r="V762" s="24"/>
      <c r="W762" s="24"/>
      <c r="X762" s="24"/>
      <c r="Y762" s="24"/>
      <c r="Z762" s="24"/>
      <c r="AA762" s="24"/>
      <c r="AB762" s="24"/>
      <c r="AC762" s="25"/>
      <c r="AD762" s="25"/>
      <c r="AE762" s="25"/>
      <c r="AF762" s="25"/>
      <c r="AG762" s="25"/>
      <c r="AH762" s="10"/>
      <c r="AI762" s="25"/>
      <c r="AJ762" s="25"/>
      <c r="AL762" s="3"/>
      <c r="AO762" s="9"/>
      <c r="AP762" s="9"/>
      <c r="AQ762" s="9"/>
      <c r="AR762" s="2"/>
      <c r="AS762" s="31"/>
    </row>
    <row r="763" spans="1:45">
      <c r="A763" s="13">
        <v>40269</v>
      </c>
      <c r="B763" s="3">
        <v>89.267399999999995</v>
      </c>
      <c r="C763" s="24">
        <v>139296</v>
      </c>
      <c r="D763" s="24">
        <v>129703</v>
      </c>
      <c r="E763" s="2">
        <v>9.9</v>
      </c>
      <c r="F763" s="33">
        <v>1.5924000000000001E-2</v>
      </c>
      <c r="G763" s="33">
        <v>1.4759E-2</v>
      </c>
      <c r="H763" s="25">
        <v>5.29</v>
      </c>
      <c r="I763" s="25">
        <v>6.25</v>
      </c>
      <c r="J763" s="25">
        <v>0.2</v>
      </c>
      <c r="K763" s="25">
        <v>0.4</v>
      </c>
      <c r="L763" s="25">
        <v>0.16</v>
      </c>
      <c r="M763" s="33">
        <v>233.1</v>
      </c>
      <c r="N763" s="25"/>
      <c r="O763" s="31">
        <v>510.27</v>
      </c>
      <c r="P763" s="38">
        <v>176.6403</v>
      </c>
      <c r="Q763" s="24"/>
      <c r="R763" s="38">
        <v>-0.22398199999999999</v>
      </c>
      <c r="T763" s="2"/>
      <c r="U763" s="2"/>
      <c r="V763" s="24"/>
      <c r="W763" s="24"/>
      <c r="X763" s="24"/>
      <c r="Y763" s="24"/>
      <c r="Z763" s="24"/>
      <c r="AA763" s="24"/>
      <c r="AB763" s="24"/>
      <c r="AC763" s="25"/>
      <c r="AD763" s="25"/>
      <c r="AE763" s="25"/>
      <c r="AF763" s="25"/>
      <c r="AG763" s="25"/>
      <c r="AH763" s="10"/>
      <c r="AI763" s="25"/>
      <c r="AJ763" s="25"/>
      <c r="AL763" s="3"/>
      <c r="AO763" s="9"/>
      <c r="AP763" s="9"/>
      <c r="AQ763" s="9"/>
      <c r="AR763" s="2"/>
      <c r="AS763" s="31"/>
    </row>
    <row r="764" spans="1:45">
      <c r="A764" s="13">
        <v>40299</v>
      </c>
      <c r="B764" s="3">
        <v>90.675399999999996</v>
      </c>
      <c r="C764" s="24">
        <v>139255</v>
      </c>
      <c r="D764" s="24">
        <v>130224</v>
      </c>
      <c r="E764" s="2">
        <v>9.6</v>
      </c>
      <c r="F764" s="33">
        <v>-8.0111000000000002E-2</v>
      </c>
      <c r="G764" s="33">
        <v>-8.1975999999999993E-2</v>
      </c>
      <c r="H764" s="25">
        <v>4.96</v>
      </c>
      <c r="I764" s="25">
        <v>6.05</v>
      </c>
      <c r="J764" s="25">
        <v>0.2</v>
      </c>
      <c r="K764" s="25">
        <v>0.48</v>
      </c>
      <c r="L764" s="25">
        <v>0.16</v>
      </c>
      <c r="M764" s="33">
        <v>205.1</v>
      </c>
      <c r="N764" s="25"/>
      <c r="O764" s="31">
        <v>489.89</v>
      </c>
      <c r="P764" s="38">
        <v>202.28460000000001</v>
      </c>
      <c r="Q764" s="24"/>
      <c r="R764" s="38">
        <v>-0.17216200000000001</v>
      </c>
      <c r="T764" s="2"/>
      <c r="U764" s="2"/>
      <c r="V764" s="24"/>
      <c r="W764" s="24"/>
      <c r="X764" s="24"/>
      <c r="Y764" s="24"/>
      <c r="Z764" s="24"/>
      <c r="AA764" s="24"/>
      <c r="AB764" s="24"/>
      <c r="AC764" s="25"/>
      <c r="AD764" s="25"/>
      <c r="AE764" s="25"/>
      <c r="AF764" s="25"/>
      <c r="AG764" s="25"/>
      <c r="AH764" s="10"/>
      <c r="AI764" s="25"/>
      <c r="AJ764" s="25"/>
      <c r="AL764" s="3"/>
      <c r="AO764" s="9"/>
      <c r="AP764" s="9"/>
      <c r="AQ764" s="9"/>
      <c r="AR764" s="2"/>
      <c r="AS764" s="31"/>
    </row>
    <row r="765" spans="1:45">
      <c r="A765" s="13">
        <v>40330</v>
      </c>
      <c r="B765" s="3">
        <v>90.874399999999994</v>
      </c>
      <c r="C765" s="24">
        <v>139148</v>
      </c>
      <c r="D765" s="24">
        <v>130094</v>
      </c>
      <c r="E765" s="2">
        <v>9.4</v>
      </c>
      <c r="F765" s="33">
        <v>-5.3525000000000003E-2</v>
      </c>
      <c r="G765" s="33">
        <v>-5.3881999999999999E-2</v>
      </c>
      <c r="H765" s="25">
        <v>4.88</v>
      </c>
      <c r="I765" s="25">
        <v>6.23</v>
      </c>
      <c r="J765" s="25">
        <v>0.18</v>
      </c>
      <c r="K765" s="25">
        <v>0.61</v>
      </c>
      <c r="L765" s="25">
        <v>0.12</v>
      </c>
      <c r="M765" s="33">
        <v>206.5</v>
      </c>
      <c r="N765" s="25"/>
      <c r="O765" s="31">
        <v>476.02</v>
      </c>
      <c r="P765" s="38">
        <v>161.90350000000001</v>
      </c>
      <c r="Q765" s="24"/>
      <c r="R765" s="38">
        <v>-3.1792000000000001E-2</v>
      </c>
      <c r="T765" s="2"/>
      <c r="U765" s="2"/>
      <c r="V765" s="24"/>
      <c r="W765" s="24"/>
      <c r="X765" s="24"/>
      <c r="Y765" s="24"/>
      <c r="Z765" s="24"/>
      <c r="AA765" s="24"/>
      <c r="AB765" s="24"/>
      <c r="AC765" s="25"/>
      <c r="AD765" s="25"/>
      <c r="AE765" s="25"/>
      <c r="AF765" s="25"/>
      <c r="AG765" s="25"/>
      <c r="AH765" s="10"/>
      <c r="AI765" s="25"/>
      <c r="AJ765" s="25"/>
      <c r="AL765" s="3"/>
      <c r="AO765" s="9"/>
      <c r="AP765" s="9"/>
      <c r="AQ765" s="9"/>
      <c r="AR765" s="2"/>
      <c r="AS765" s="31"/>
    </row>
    <row r="766" spans="1:45">
      <c r="A766" s="13">
        <v>40360</v>
      </c>
      <c r="B766" s="3">
        <v>91.405900000000003</v>
      </c>
      <c r="C766" s="24">
        <v>139167</v>
      </c>
      <c r="D766" s="24">
        <v>130008</v>
      </c>
      <c r="E766" s="2">
        <v>9.5</v>
      </c>
      <c r="F766" s="33">
        <v>7.0451E-2</v>
      </c>
      <c r="G766" s="33">
        <v>6.8778000000000006E-2</v>
      </c>
      <c r="H766" s="25">
        <v>4.72</v>
      </c>
      <c r="I766" s="25">
        <v>6.01</v>
      </c>
      <c r="J766" s="25">
        <v>0.18</v>
      </c>
      <c r="K766" s="25">
        <v>0.61</v>
      </c>
      <c r="L766" s="25">
        <v>0.16</v>
      </c>
      <c r="M766" s="33">
        <v>208.1</v>
      </c>
      <c r="N766" s="25"/>
      <c r="O766" s="31">
        <v>475.17</v>
      </c>
      <c r="P766" s="38">
        <v>204.86789999999999</v>
      </c>
      <c r="Q766" s="24"/>
      <c r="R766" s="38">
        <v>0.17779800000000001</v>
      </c>
      <c r="T766" s="2"/>
      <c r="U766" s="2"/>
      <c r="V766" s="24"/>
      <c r="W766" s="24"/>
      <c r="X766" s="24"/>
      <c r="Y766" s="24"/>
      <c r="Z766" s="24"/>
      <c r="AA766" s="24"/>
      <c r="AB766" s="24"/>
      <c r="AC766" s="25"/>
      <c r="AD766" s="25"/>
      <c r="AE766" s="25"/>
      <c r="AF766" s="25"/>
      <c r="AG766" s="25"/>
      <c r="AH766" s="10"/>
      <c r="AI766" s="25"/>
      <c r="AJ766" s="25"/>
      <c r="AL766" s="3"/>
      <c r="AO766" s="9"/>
      <c r="AP766" s="9"/>
      <c r="AQ766" s="9"/>
      <c r="AR766" s="2"/>
      <c r="AS766" s="31"/>
    </row>
    <row r="767" spans="1:45">
      <c r="A767" s="13">
        <v>40391</v>
      </c>
      <c r="B767" s="3">
        <v>91.649100000000004</v>
      </c>
      <c r="C767" s="24">
        <v>139405</v>
      </c>
      <c r="D767" s="24">
        <v>129971</v>
      </c>
      <c r="E767" s="2">
        <v>9.5</v>
      </c>
      <c r="F767" s="33">
        <v>-4.5434000000000002E-2</v>
      </c>
      <c r="G767" s="33">
        <v>-4.7448999999999998E-2</v>
      </c>
      <c r="H767" s="25">
        <v>4.49</v>
      </c>
      <c r="I767" s="25">
        <v>5.66</v>
      </c>
      <c r="J767" s="25">
        <v>0.19</v>
      </c>
      <c r="K767" s="25">
        <v>0.52</v>
      </c>
      <c r="L767" s="25">
        <v>0.16</v>
      </c>
      <c r="M767" s="33">
        <v>211.8</v>
      </c>
      <c r="N767" s="25"/>
      <c r="O767" s="31">
        <v>498.9</v>
      </c>
      <c r="P767" s="38">
        <v>135.3503</v>
      </c>
      <c r="Q767" s="24"/>
      <c r="R767" s="38">
        <v>-0.47641499999999998</v>
      </c>
      <c r="T767" s="2"/>
      <c r="U767" s="2"/>
      <c r="V767" s="24"/>
      <c r="W767" s="24"/>
      <c r="X767" s="24"/>
      <c r="Y767" s="24"/>
      <c r="Z767" s="24"/>
      <c r="AA767" s="24"/>
      <c r="AB767" s="24"/>
      <c r="AC767" s="25"/>
      <c r="AD767" s="25"/>
      <c r="AE767" s="25"/>
      <c r="AF767" s="25"/>
      <c r="AG767" s="25"/>
      <c r="AH767" s="10"/>
      <c r="AI767" s="25"/>
      <c r="AJ767" s="25"/>
      <c r="AL767" s="3"/>
      <c r="AO767" s="9"/>
      <c r="AP767" s="9"/>
      <c r="AQ767" s="9"/>
      <c r="AR767" s="2"/>
      <c r="AS767" s="31"/>
    </row>
    <row r="768" spans="1:45">
      <c r="A768" s="13">
        <v>40422</v>
      </c>
      <c r="B768" s="3">
        <v>91.882900000000006</v>
      </c>
      <c r="C768" s="24">
        <v>139388</v>
      </c>
      <c r="D768" s="24">
        <v>129928</v>
      </c>
      <c r="E768" s="2">
        <v>9.5</v>
      </c>
      <c r="F768" s="33">
        <v>9.0383000000000005E-2</v>
      </c>
      <c r="G768" s="33">
        <v>8.7551000000000004E-2</v>
      </c>
      <c r="H768" s="25">
        <v>4.53</v>
      </c>
      <c r="I768" s="25">
        <v>5.66</v>
      </c>
      <c r="J768" s="25">
        <v>0.19</v>
      </c>
      <c r="K768" s="25">
        <v>0.42</v>
      </c>
      <c r="L768" s="25">
        <v>0.15</v>
      </c>
      <c r="M768" s="33">
        <v>207.1</v>
      </c>
      <c r="N768" s="25"/>
      <c r="O768" s="31">
        <v>517.89</v>
      </c>
      <c r="P768" s="38">
        <v>214.126</v>
      </c>
      <c r="Q768" s="24"/>
      <c r="R768" s="38">
        <v>-7.3797000000000001E-2</v>
      </c>
      <c r="T768" s="2"/>
      <c r="U768" s="2"/>
      <c r="V768" s="24"/>
      <c r="W768" s="24"/>
      <c r="X768" s="24"/>
      <c r="Y768" s="24"/>
      <c r="Z768" s="24"/>
      <c r="AA768" s="24"/>
      <c r="AB768" s="24"/>
      <c r="AC768" s="25"/>
      <c r="AD768" s="25"/>
      <c r="AE768" s="25"/>
      <c r="AF768" s="25"/>
      <c r="AG768" s="25"/>
      <c r="AH768" s="10"/>
      <c r="AI768" s="25"/>
      <c r="AJ768" s="25"/>
      <c r="AL768" s="3"/>
      <c r="AO768" s="9"/>
      <c r="AP768" s="9"/>
      <c r="AQ768" s="9"/>
      <c r="AR768" s="2"/>
      <c r="AS768" s="31"/>
    </row>
    <row r="769" spans="1:45">
      <c r="A769" s="13">
        <v>40452</v>
      </c>
      <c r="B769" s="3">
        <v>91.5685</v>
      </c>
      <c r="C769" s="24">
        <v>139097</v>
      </c>
      <c r="D769" s="24">
        <v>130156</v>
      </c>
      <c r="E769" s="2">
        <v>9.5</v>
      </c>
      <c r="F769" s="33">
        <v>3.8727999999999999E-2</v>
      </c>
      <c r="G769" s="33">
        <v>3.6856E-2</v>
      </c>
      <c r="H769" s="25">
        <v>4.68</v>
      </c>
      <c r="I769" s="25">
        <v>5.72</v>
      </c>
      <c r="J769" s="25">
        <v>0.19</v>
      </c>
      <c r="K769" s="25">
        <v>0.4</v>
      </c>
      <c r="L769" s="25">
        <v>0.13</v>
      </c>
      <c r="M769" s="33">
        <v>224</v>
      </c>
      <c r="N769" s="25"/>
      <c r="O769" s="31">
        <v>539.6</v>
      </c>
      <c r="P769" s="38">
        <v>168.37139999999999</v>
      </c>
      <c r="Q769" s="24"/>
      <c r="R769" s="38">
        <v>-2.2728999999999999E-2</v>
      </c>
      <c r="T769" s="2"/>
      <c r="U769" s="2"/>
      <c r="V769" s="24"/>
      <c r="W769" s="24"/>
      <c r="X769" s="24"/>
      <c r="Y769" s="24"/>
      <c r="Z769" s="24"/>
      <c r="AA769" s="24"/>
      <c r="AB769" s="24"/>
      <c r="AC769" s="25"/>
      <c r="AD769" s="25"/>
      <c r="AE769" s="25"/>
      <c r="AF769" s="25"/>
      <c r="AG769" s="25"/>
      <c r="AH769" s="10"/>
      <c r="AI769" s="25"/>
      <c r="AJ769" s="25"/>
      <c r="AL769" s="3"/>
      <c r="AO769" s="9"/>
      <c r="AP769" s="9"/>
      <c r="AQ769" s="9"/>
      <c r="AR769" s="2"/>
      <c r="AS769" s="31"/>
    </row>
    <row r="770" spans="1:45">
      <c r="A770" s="13">
        <v>40483</v>
      </c>
      <c r="B770" s="3">
        <v>91.8155</v>
      </c>
      <c r="C770" s="24">
        <v>139046</v>
      </c>
      <c r="D770" s="24">
        <v>130300</v>
      </c>
      <c r="E770" s="2">
        <v>9.8000000000000007</v>
      </c>
      <c r="F770" s="33">
        <v>-5.5000000000000002E-5</v>
      </c>
      <c r="G770" s="33">
        <v>-2.2899999999999999E-3</v>
      </c>
      <c r="H770" s="25">
        <v>4.87</v>
      </c>
      <c r="I770" s="25">
        <v>5.92</v>
      </c>
      <c r="J770" s="25">
        <v>0.19</v>
      </c>
      <c r="K770" s="25">
        <v>0.4</v>
      </c>
      <c r="L770" s="25">
        <v>0.14000000000000001</v>
      </c>
      <c r="M770" s="33">
        <v>237.1</v>
      </c>
      <c r="N770" s="25"/>
      <c r="O770" s="31">
        <v>555.04</v>
      </c>
      <c r="P770" s="38">
        <v>169.9751</v>
      </c>
      <c r="Q770" s="24"/>
      <c r="R770" s="38">
        <v>-0.14422399999999999</v>
      </c>
      <c r="T770" s="2"/>
      <c r="U770" s="2"/>
      <c r="V770" s="24"/>
      <c r="W770" s="24"/>
      <c r="X770" s="24"/>
      <c r="Y770" s="24"/>
      <c r="Z770" s="24"/>
      <c r="AA770" s="24"/>
      <c r="AB770" s="24"/>
      <c r="AC770" s="25"/>
      <c r="AD770" s="25"/>
      <c r="AE770" s="25"/>
      <c r="AF770" s="25"/>
      <c r="AG770" s="25"/>
      <c r="AH770" s="10"/>
      <c r="AI770" s="25"/>
      <c r="AJ770" s="25"/>
      <c r="AL770" s="3"/>
      <c r="AO770" s="9"/>
      <c r="AP770" s="9"/>
      <c r="AQ770" s="9"/>
      <c r="AR770" s="2"/>
      <c r="AS770" s="31"/>
    </row>
    <row r="771" spans="1:45">
      <c r="A771" s="13">
        <v>40513</v>
      </c>
      <c r="B771" s="3">
        <v>92.722499999999997</v>
      </c>
      <c r="C771" s="24">
        <v>139295</v>
      </c>
      <c r="D771" s="24">
        <v>130395</v>
      </c>
      <c r="E771" s="2">
        <v>9.3000000000000007</v>
      </c>
      <c r="F771" s="33">
        <v>6.7054000000000002E-2</v>
      </c>
      <c r="G771" s="33">
        <v>6.5299999999999997E-2</v>
      </c>
      <c r="H771" s="25">
        <v>5.0199999999999996</v>
      </c>
      <c r="I771" s="25">
        <v>6.1</v>
      </c>
      <c r="J771" s="25">
        <v>0.18</v>
      </c>
      <c r="K771" s="25">
        <v>0.39</v>
      </c>
      <c r="L771" s="25">
        <v>0.14000000000000001</v>
      </c>
      <c r="M771" s="33">
        <v>243.9</v>
      </c>
      <c r="N771" s="25"/>
      <c r="O771" s="31">
        <v>574.6</v>
      </c>
      <c r="P771" s="38">
        <v>172.52379999999999</v>
      </c>
      <c r="Q771" s="24"/>
      <c r="R771" s="38">
        <v>-0.399171</v>
      </c>
      <c r="T771" s="2"/>
      <c r="U771" s="2"/>
      <c r="V771" s="24"/>
      <c r="W771" s="24"/>
      <c r="X771" s="24"/>
      <c r="Y771" s="24"/>
      <c r="Z771" s="24"/>
      <c r="AA771" s="24"/>
      <c r="AB771" s="24"/>
      <c r="AC771" s="25"/>
      <c r="AD771" s="25"/>
      <c r="AE771" s="25"/>
      <c r="AF771" s="25"/>
      <c r="AG771" s="25"/>
      <c r="AH771" s="10"/>
      <c r="AI771" s="25"/>
      <c r="AJ771" s="25"/>
      <c r="AL771" s="3"/>
      <c r="AO771" s="9"/>
      <c r="AP771" s="9"/>
      <c r="AQ771" s="9"/>
      <c r="AR771" s="2"/>
      <c r="AS771" s="31"/>
    </row>
    <row r="772" spans="1:45">
      <c r="A772" s="13">
        <v>40544</v>
      </c>
      <c r="B772" s="3">
        <v>92.608800000000002</v>
      </c>
      <c r="C772" s="24">
        <v>139253</v>
      </c>
      <c r="D772" s="24">
        <v>130464</v>
      </c>
      <c r="E772" s="2">
        <v>9.1</v>
      </c>
      <c r="F772" s="33">
        <v>2.3347E-2</v>
      </c>
      <c r="G772" s="33">
        <v>2.2645999999999999E-2</v>
      </c>
      <c r="H772" s="25">
        <v>5.04</v>
      </c>
      <c r="I772" s="25">
        <v>6.09</v>
      </c>
      <c r="J772" s="25">
        <v>0.17</v>
      </c>
      <c r="K772" s="25">
        <v>0.39</v>
      </c>
      <c r="L772" s="25">
        <v>0.15</v>
      </c>
      <c r="M772" s="33">
        <v>251.9</v>
      </c>
      <c r="N772" s="25"/>
      <c r="O772" s="31">
        <v>594.47</v>
      </c>
      <c r="P772" s="38">
        <v>147.22210000000001</v>
      </c>
      <c r="Q772" s="24"/>
      <c r="R772" s="38">
        <v>8.8206999999999994E-2</v>
      </c>
      <c r="T772" s="2"/>
      <c r="U772" s="2"/>
      <c r="V772" s="24"/>
      <c r="W772" s="24"/>
      <c r="X772" s="24"/>
      <c r="Y772" s="24"/>
      <c r="Z772" s="24"/>
      <c r="AA772" s="24"/>
      <c r="AB772" s="24"/>
      <c r="AC772" s="25"/>
      <c r="AD772" s="25"/>
      <c r="AE772" s="25"/>
      <c r="AF772" s="25"/>
      <c r="AG772" s="25"/>
      <c r="AH772" s="10"/>
      <c r="AI772" s="25"/>
      <c r="AJ772" s="25"/>
      <c r="AL772" s="3"/>
      <c r="AO772" s="9"/>
      <c r="AP772" s="9"/>
      <c r="AQ772" s="9"/>
      <c r="AR772" s="2"/>
      <c r="AS772" s="31"/>
    </row>
    <row r="773" spans="1:45">
      <c r="A773" s="13">
        <v>40575</v>
      </c>
      <c r="B773" s="3">
        <v>92.174800000000005</v>
      </c>
      <c r="C773" s="24">
        <v>139471</v>
      </c>
      <c r="D773" s="24">
        <v>130660</v>
      </c>
      <c r="E773" s="2">
        <v>9</v>
      </c>
      <c r="F773" s="33">
        <v>3.2508000000000002E-2</v>
      </c>
      <c r="G773" s="33">
        <v>3.1956999999999999E-2</v>
      </c>
      <c r="H773" s="25">
        <v>5.22</v>
      </c>
      <c r="I773" s="25">
        <v>6.15</v>
      </c>
      <c r="J773" s="25">
        <v>0.16</v>
      </c>
      <c r="K773" s="25">
        <v>0.41</v>
      </c>
      <c r="L773" s="25">
        <v>0.13</v>
      </c>
      <c r="M773" s="33">
        <v>241.5</v>
      </c>
      <c r="N773" s="25"/>
      <c r="O773" s="31">
        <v>616.26</v>
      </c>
      <c r="P773" s="38">
        <v>125.4742</v>
      </c>
      <c r="Q773" s="24"/>
      <c r="R773" s="38">
        <v>-0.21224199999999999</v>
      </c>
      <c r="T773" s="2"/>
      <c r="U773" s="2"/>
      <c r="V773" s="24"/>
      <c r="W773" s="24"/>
      <c r="X773" s="24"/>
      <c r="Y773" s="24"/>
      <c r="Z773" s="24"/>
      <c r="AA773" s="24"/>
      <c r="AB773" s="24"/>
      <c r="AC773" s="25"/>
      <c r="AD773" s="25"/>
      <c r="AE773" s="25"/>
      <c r="AF773" s="25"/>
      <c r="AG773" s="25"/>
      <c r="AH773" s="10"/>
      <c r="AI773" s="25"/>
      <c r="AJ773" s="25"/>
      <c r="AL773" s="3"/>
      <c r="AO773" s="9"/>
      <c r="AP773" s="9"/>
      <c r="AQ773" s="9"/>
      <c r="AR773" s="2"/>
      <c r="AS773" s="31"/>
    </row>
    <row r="774" spans="1:45">
      <c r="A774" s="13">
        <v>40603</v>
      </c>
      <c r="B774" s="3">
        <v>93.113699999999994</v>
      </c>
      <c r="C774" s="24">
        <v>139643</v>
      </c>
      <c r="D774" s="24">
        <v>130865</v>
      </c>
      <c r="E774" s="2">
        <v>8.9</v>
      </c>
      <c r="F774" s="33">
        <v>6.3599999999999996E-4</v>
      </c>
      <c r="G774" s="33">
        <v>-1.047E-3</v>
      </c>
      <c r="H774" s="25">
        <v>5.13</v>
      </c>
      <c r="I774" s="25">
        <v>6.03</v>
      </c>
      <c r="J774" s="25">
        <v>0.14000000000000001</v>
      </c>
      <c r="K774" s="25">
        <v>0.42</v>
      </c>
      <c r="L774" s="25">
        <v>0.1</v>
      </c>
      <c r="M774" s="33">
        <v>283.7</v>
      </c>
      <c r="N774" s="25"/>
      <c r="O774" s="31">
        <v>619.72</v>
      </c>
      <c r="P774" s="38">
        <v>192.46600000000001</v>
      </c>
      <c r="Q774" s="24"/>
      <c r="R774" s="38">
        <v>-0.24679400000000001</v>
      </c>
      <c r="T774" s="2"/>
      <c r="U774" s="2"/>
      <c r="V774" s="24"/>
      <c r="W774" s="24"/>
      <c r="X774" s="24"/>
      <c r="Y774" s="24"/>
      <c r="Z774" s="24"/>
      <c r="AA774" s="24"/>
      <c r="AB774" s="24"/>
      <c r="AC774" s="25"/>
      <c r="AD774" s="25"/>
      <c r="AE774" s="25"/>
      <c r="AF774" s="25"/>
      <c r="AG774" s="25"/>
      <c r="AH774" s="10"/>
      <c r="AI774" s="25"/>
      <c r="AJ774" s="25"/>
      <c r="AL774" s="3"/>
      <c r="AO774" s="9"/>
      <c r="AP774" s="9"/>
      <c r="AQ774" s="9"/>
      <c r="AR774" s="2"/>
      <c r="AS774" s="31"/>
    </row>
    <row r="775" spans="1:45">
      <c r="A775" s="13">
        <v>40634</v>
      </c>
      <c r="B775" s="3">
        <v>92.576499999999996</v>
      </c>
      <c r="C775" s="24">
        <v>139606</v>
      </c>
      <c r="D775" s="24">
        <v>131169</v>
      </c>
      <c r="E775" s="2">
        <v>9</v>
      </c>
      <c r="F775" s="33">
        <v>2.9440999999999998E-2</v>
      </c>
      <c r="G775" s="33">
        <v>2.8494999999999999E-2</v>
      </c>
      <c r="H775" s="25">
        <v>5.16</v>
      </c>
      <c r="I775" s="25">
        <v>6.02</v>
      </c>
      <c r="J775" s="25">
        <v>0.1</v>
      </c>
      <c r="K775" s="25">
        <v>0.4</v>
      </c>
      <c r="L775" s="25">
        <v>0.06</v>
      </c>
      <c r="M775" s="33">
        <v>311</v>
      </c>
      <c r="N775" s="25"/>
      <c r="O775" s="31">
        <v>628.73</v>
      </c>
      <c r="P775" s="38">
        <v>195.84440000000001</v>
      </c>
      <c r="Q775" s="24"/>
      <c r="R775" s="38">
        <v>-0.211225</v>
      </c>
      <c r="T775" s="2"/>
      <c r="U775" s="2"/>
      <c r="V775" s="24"/>
      <c r="W775" s="24"/>
      <c r="X775" s="24"/>
      <c r="Y775" s="24"/>
      <c r="Z775" s="24"/>
      <c r="AA775" s="24"/>
      <c r="AB775" s="24"/>
      <c r="AC775" s="25"/>
      <c r="AD775" s="25"/>
      <c r="AE775" s="25"/>
      <c r="AF775" s="25"/>
      <c r="AG775" s="25"/>
      <c r="AH775" s="10"/>
      <c r="AI775" s="25"/>
      <c r="AJ775" s="25"/>
      <c r="AL775" s="3"/>
      <c r="AO775" s="9"/>
      <c r="AP775" s="9"/>
      <c r="AQ775" s="9"/>
      <c r="AR775" s="2"/>
      <c r="AS775" s="31"/>
    </row>
    <row r="776" spans="1:45">
      <c r="A776" s="13">
        <v>40664</v>
      </c>
      <c r="B776" s="3">
        <v>92.912599999999998</v>
      </c>
      <c r="C776" s="24">
        <v>139681</v>
      </c>
      <c r="D776" s="24">
        <v>131284</v>
      </c>
      <c r="E776" s="2">
        <v>9</v>
      </c>
      <c r="F776" s="33">
        <v>-1.1313E-2</v>
      </c>
      <c r="G776" s="33">
        <v>-1.3501000000000001E-2</v>
      </c>
      <c r="H776" s="25">
        <v>4.96</v>
      </c>
      <c r="I776" s="25">
        <v>5.78</v>
      </c>
      <c r="J776" s="25">
        <v>0.09</v>
      </c>
      <c r="K776" s="25">
        <v>0.38</v>
      </c>
      <c r="L776" s="25">
        <v>0.04</v>
      </c>
      <c r="M776" s="33">
        <v>290.10000000000002</v>
      </c>
      <c r="N776" s="25"/>
      <c r="O776" s="31">
        <v>606.24</v>
      </c>
      <c r="P776" s="38">
        <v>162.90199999999999</v>
      </c>
      <c r="Q776" s="24"/>
      <c r="R776" s="38">
        <v>-7.7311000000000005E-2</v>
      </c>
      <c r="T776" s="2"/>
      <c r="U776" s="2"/>
      <c r="V776" s="24"/>
      <c r="W776" s="24"/>
      <c r="X776" s="24"/>
      <c r="Y776" s="24"/>
      <c r="Z776" s="24"/>
      <c r="AA776" s="24"/>
      <c r="AB776" s="24"/>
      <c r="AC776" s="25"/>
      <c r="AD776" s="25"/>
      <c r="AE776" s="25"/>
      <c r="AF776" s="25"/>
      <c r="AG776" s="25"/>
      <c r="AH776" s="10"/>
      <c r="AI776" s="25"/>
      <c r="AJ776" s="25"/>
      <c r="AL776" s="3"/>
      <c r="AO776" s="9"/>
      <c r="AP776" s="9"/>
      <c r="AQ776" s="9"/>
      <c r="AR776" s="2"/>
      <c r="AS776" s="31"/>
    </row>
    <row r="777" spans="1:45">
      <c r="A777" s="13">
        <v>40695</v>
      </c>
      <c r="B777" s="3">
        <v>93.077399999999997</v>
      </c>
      <c r="C777" s="24">
        <v>139405</v>
      </c>
      <c r="D777" s="24">
        <v>131493</v>
      </c>
      <c r="E777" s="2">
        <v>9.1</v>
      </c>
      <c r="F777" s="33">
        <v>-1.6545000000000001E-2</v>
      </c>
      <c r="G777" s="33">
        <v>-1.8258E-2</v>
      </c>
      <c r="H777" s="25">
        <v>4.99</v>
      </c>
      <c r="I777" s="25">
        <v>5.75</v>
      </c>
      <c r="J777" s="25">
        <v>0.09</v>
      </c>
      <c r="K777" s="25">
        <v>0.36</v>
      </c>
      <c r="L777" s="25">
        <v>0.04</v>
      </c>
      <c r="M777" s="33">
        <v>277.7</v>
      </c>
      <c r="N777" s="25"/>
      <c r="O777" s="31">
        <v>602.98</v>
      </c>
      <c r="P777" s="38">
        <v>188.25069999999999</v>
      </c>
      <c r="Q777" s="24"/>
      <c r="R777" s="38">
        <v>8.8094000000000006E-2</v>
      </c>
      <c r="T777" s="2"/>
      <c r="U777" s="2"/>
      <c r="V777" s="24"/>
      <c r="W777" s="24"/>
      <c r="X777" s="24"/>
      <c r="Y777" s="24"/>
      <c r="Z777" s="24"/>
      <c r="AA777" s="24"/>
      <c r="AB777" s="24"/>
      <c r="AC777" s="25"/>
      <c r="AD777" s="25"/>
      <c r="AE777" s="25"/>
      <c r="AF777" s="25"/>
      <c r="AG777" s="25"/>
      <c r="AH777" s="10"/>
      <c r="AI777" s="25"/>
      <c r="AJ777" s="25"/>
      <c r="AL777" s="3"/>
      <c r="AO777" s="9"/>
      <c r="AP777" s="9"/>
      <c r="AQ777" s="9"/>
      <c r="AR777" s="2"/>
      <c r="AS777" s="31"/>
    </row>
    <row r="778" spans="1:45">
      <c r="A778" s="13">
        <v>40725</v>
      </c>
      <c r="B778" s="3">
        <v>93.608800000000002</v>
      </c>
      <c r="C778" s="24">
        <v>139509</v>
      </c>
      <c r="D778" s="24">
        <v>131571</v>
      </c>
      <c r="E778" s="2">
        <v>9</v>
      </c>
      <c r="F778" s="33">
        <v>-1.9827999999999998E-2</v>
      </c>
      <c r="G778" s="33">
        <v>-2.1474E-2</v>
      </c>
      <c r="H778" s="25">
        <v>4.93</v>
      </c>
      <c r="I778" s="25">
        <v>5.76</v>
      </c>
      <c r="J778" s="25">
        <v>7.0000000000000007E-2</v>
      </c>
      <c r="K778" s="25">
        <v>0.32</v>
      </c>
      <c r="L778" s="25">
        <v>0.04</v>
      </c>
      <c r="M778" s="33">
        <v>284.2</v>
      </c>
      <c r="N778" s="25"/>
      <c r="O778" s="31">
        <v>596.79</v>
      </c>
      <c r="P778" s="38">
        <v>227.70679999999999</v>
      </c>
      <c r="Q778" s="24"/>
      <c r="R778" s="38">
        <v>-1.1757999999999999E-2</v>
      </c>
      <c r="T778" s="2"/>
      <c r="U778" s="2"/>
      <c r="V778" s="24"/>
      <c r="W778" s="24"/>
      <c r="X778" s="24"/>
      <c r="Y778" s="24"/>
      <c r="Z778" s="24"/>
      <c r="AA778" s="24"/>
      <c r="AB778" s="24"/>
      <c r="AC778" s="25"/>
      <c r="AD778" s="25"/>
      <c r="AE778" s="25"/>
      <c r="AF778" s="25"/>
      <c r="AG778" s="25"/>
      <c r="AH778" s="10"/>
      <c r="AI778" s="25"/>
      <c r="AJ778" s="25"/>
      <c r="AL778" s="3"/>
      <c r="AO778" s="9"/>
      <c r="AP778" s="9"/>
      <c r="AQ778" s="9"/>
      <c r="AR778" s="2"/>
      <c r="AS778" s="31"/>
    </row>
    <row r="779" spans="1:45">
      <c r="A779" s="13">
        <v>40756</v>
      </c>
      <c r="B779" s="3">
        <v>94.121200000000002</v>
      </c>
      <c r="C779" s="24">
        <v>139870</v>
      </c>
      <c r="D779" s="24">
        <v>131703</v>
      </c>
      <c r="E779" s="2">
        <v>9</v>
      </c>
      <c r="F779" s="33">
        <v>-5.4322000000000002E-2</v>
      </c>
      <c r="G779" s="33">
        <v>-5.6791000000000001E-2</v>
      </c>
      <c r="H779" s="25">
        <v>4.37</v>
      </c>
      <c r="I779" s="25">
        <v>5.36</v>
      </c>
      <c r="J779" s="25">
        <v>0.1</v>
      </c>
      <c r="K779" s="25">
        <v>0.37</v>
      </c>
      <c r="L779" s="25">
        <v>0.02</v>
      </c>
      <c r="M779" s="33">
        <v>245.2</v>
      </c>
      <c r="N779" s="25"/>
      <c r="O779" s="31">
        <v>573.16999999999996</v>
      </c>
      <c r="P779" s="38">
        <v>285.3682</v>
      </c>
      <c r="Q779" s="24"/>
      <c r="R779" s="38">
        <v>-0.235568</v>
      </c>
      <c r="T779" s="2"/>
      <c r="U779" s="2"/>
      <c r="V779" s="24"/>
      <c r="W779" s="24"/>
      <c r="X779" s="24"/>
      <c r="Y779" s="24"/>
      <c r="Z779" s="24"/>
      <c r="AA779" s="24"/>
      <c r="AB779" s="24"/>
      <c r="AC779" s="25"/>
      <c r="AD779" s="25"/>
      <c r="AE779" s="25"/>
      <c r="AF779" s="25"/>
      <c r="AG779" s="25"/>
      <c r="AH779" s="10"/>
      <c r="AI779" s="25"/>
      <c r="AJ779" s="25"/>
      <c r="AL779" s="3"/>
      <c r="AO779" s="9"/>
      <c r="AP779" s="9"/>
      <c r="AQ779" s="9"/>
      <c r="AR779" s="2"/>
      <c r="AS779" s="31"/>
    </row>
    <row r="780" spans="1:45">
      <c r="A780" s="13">
        <v>40787</v>
      </c>
      <c r="B780" s="3">
        <v>94.221599999999995</v>
      </c>
      <c r="C780" s="24">
        <v>140164</v>
      </c>
      <c r="D780" s="24">
        <v>131928</v>
      </c>
      <c r="E780" s="2">
        <v>9</v>
      </c>
      <c r="F780" s="33">
        <v>-7.0237999999999995E-2</v>
      </c>
      <c r="G780" s="33">
        <v>-7.1762000000000006E-2</v>
      </c>
      <c r="H780" s="25">
        <v>4.09</v>
      </c>
      <c r="I780" s="25">
        <v>5.27</v>
      </c>
      <c r="J780" s="25">
        <v>0.08</v>
      </c>
      <c r="K780" s="25">
        <v>0.42</v>
      </c>
      <c r="L780" s="25">
        <v>0.01</v>
      </c>
      <c r="M780" s="33">
        <v>268.89999999999998</v>
      </c>
      <c r="N780" s="25"/>
      <c r="O780" s="31">
        <v>560.02</v>
      </c>
      <c r="P780" s="38">
        <v>234.27369999999999</v>
      </c>
      <c r="Q780" s="24"/>
      <c r="R780" s="38">
        <v>0.302759</v>
      </c>
      <c r="T780" s="2"/>
      <c r="U780" s="2"/>
      <c r="V780" s="24"/>
      <c r="W780" s="24"/>
      <c r="X780" s="24"/>
      <c r="Y780" s="24"/>
      <c r="Z780" s="24"/>
      <c r="AA780" s="24"/>
      <c r="AB780" s="24"/>
      <c r="AC780" s="25"/>
      <c r="AD780" s="25"/>
      <c r="AE780" s="25"/>
      <c r="AF780" s="25"/>
      <c r="AG780" s="25"/>
      <c r="AH780" s="10"/>
      <c r="AI780" s="25"/>
      <c r="AJ780" s="25"/>
      <c r="AL780" s="3"/>
      <c r="AO780" s="9"/>
      <c r="AP780" s="9"/>
      <c r="AQ780" s="9"/>
      <c r="AR780" s="2"/>
      <c r="AS780" s="31"/>
    </row>
    <row r="781" spans="1:45">
      <c r="A781" s="13">
        <v>40817</v>
      </c>
      <c r="B781" s="3">
        <v>94.747399999999999</v>
      </c>
      <c r="C781" s="24">
        <v>140314</v>
      </c>
      <c r="D781" s="24">
        <v>132094</v>
      </c>
      <c r="E781" s="2">
        <v>8.9</v>
      </c>
      <c r="F781" s="33">
        <v>0.10902299999999999</v>
      </c>
      <c r="G781" s="33">
        <v>0.107723</v>
      </c>
      <c r="H781" s="25">
        <v>3.98</v>
      </c>
      <c r="I781" s="25">
        <v>5.37</v>
      </c>
      <c r="J781" s="25">
        <v>7.0000000000000007E-2</v>
      </c>
      <c r="K781" s="25">
        <v>0.49</v>
      </c>
      <c r="L781" s="25">
        <v>0.02</v>
      </c>
      <c r="M781" s="33">
        <v>265.2</v>
      </c>
      <c r="N781" s="25"/>
      <c r="O781" s="31">
        <v>536.71</v>
      </c>
      <c r="P781" s="38">
        <v>149.62899999999999</v>
      </c>
      <c r="Q781" s="24"/>
      <c r="R781" s="38">
        <v>-0.29385899999999998</v>
      </c>
      <c r="T781" s="2"/>
      <c r="U781" s="2"/>
      <c r="V781" s="24"/>
      <c r="W781" s="24"/>
      <c r="X781" s="24"/>
      <c r="Y781" s="24"/>
      <c r="Z781" s="24"/>
      <c r="AA781" s="24"/>
      <c r="AB781" s="24"/>
      <c r="AC781" s="25"/>
      <c r="AD781" s="25"/>
      <c r="AE781" s="25"/>
      <c r="AF781" s="25"/>
      <c r="AG781" s="25"/>
      <c r="AH781" s="10"/>
      <c r="AI781" s="25"/>
      <c r="AJ781" s="25"/>
      <c r="AL781" s="3"/>
      <c r="AO781" s="9"/>
      <c r="AP781" s="9"/>
      <c r="AQ781" s="9"/>
      <c r="AR781" s="2"/>
      <c r="AS781" s="31"/>
    </row>
    <row r="782" spans="1:45">
      <c r="A782" s="13">
        <v>40848</v>
      </c>
      <c r="B782" s="3">
        <v>94.959800000000001</v>
      </c>
      <c r="C782" s="24">
        <v>140771</v>
      </c>
      <c r="D782" s="24">
        <v>132268</v>
      </c>
      <c r="E782" s="2">
        <v>8.6</v>
      </c>
      <c r="F782" s="33">
        <v>-2.7269999999999998E-3</v>
      </c>
      <c r="G782" s="33">
        <v>-5.0590000000000001E-3</v>
      </c>
      <c r="H782" s="25">
        <v>3.87</v>
      </c>
      <c r="I782" s="25">
        <v>5.14</v>
      </c>
      <c r="J782" s="25">
        <v>0.08</v>
      </c>
      <c r="K782" s="25">
        <v>0.49</v>
      </c>
      <c r="L782" s="25">
        <v>0.01</v>
      </c>
      <c r="M782" s="33">
        <v>302.60000000000002</v>
      </c>
      <c r="N782" s="25"/>
      <c r="O782" s="31">
        <v>529.06714290000002</v>
      </c>
      <c r="P782" s="38">
        <v>157.79949999999999</v>
      </c>
      <c r="Q782" s="24"/>
      <c r="R782" s="38">
        <v>0.39452599999999999</v>
      </c>
      <c r="T782" s="2"/>
      <c r="U782" s="2"/>
      <c r="V782" s="24"/>
      <c r="W782" s="24"/>
      <c r="X782" s="24"/>
      <c r="Y782" s="24"/>
      <c r="Z782" s="24"/>
      <c r="AA782" s="24"/>
      <c r="AB782" s="24"/>
      <c r="AC782" s="25"/>
      <c r="AD782" s="25"/>
      <c r="AE782" s="25"/>
      <c r="AF782" s="25"/>
      <c r="AG782" s="25"/>
      <c r="AH782" s="10"/>
      <c r="AI782" s="25"/>
      <c r="AJ782" s="25"/>
      <c r="AL782" s="3"/>
      <c r="AO782" s="9"/>
      <c r="AP782" s="9"/>
      <c r="AQ782" s="9"/>
      <c r="AR782" s="2"/>
      <c r="AS782" s="31"/>
    </row>
    <row r="783" spans="1:45">
      <c r="A783" s="13">
        <v>40878</v>
      </c>
      <c r="B783" s="3">
        <v>95.523899999999998</v>
      </c>
      <c r="C783" s="24">
        <v>140896</v>
      </c>
      <c r="D783" s="24">
        <v>132498</v>
      </c>
      <c r="E783" s="2">
        <v>8.5</v>
      </c>
      <c r="F783" s="33">
        <v>9.4269999999999996E-3</v>
      </c>
      <c r="G783" s="33">
        <v>8.5330000000000007E-3</v>
      </c>
      <c r="H783" s="25">
        <v>3.93</v>
      </c>
      <c r="I783" s="25">
        <v>5.25</v>
      </c>
      <c r="J783" s="25">
        <v>7.0000000000000007E-2</v>
      </c>
      <c r="K783" s="25">
        <v>0.5</v>
      </c>
      <c r="L783" s="25">
        <v>0.01</v>
      </c>
      <c r="M783" s="33">
        <v>283.5</v>
      </c>
      <c r="N783" s="25"/>
      <c r="O783" s="31">
        <v>519.45523809999997</v>
      </c>
      <c r="P783" s="38">
        <v>187.2379</v>
      </c>
      <c r="Q783" s="24"/>
      <c r="R783" s="38">
        <v>0.12035800000000001</v>
      </c>
      <c r="T783" s="2"/>
      <c r="U783" s="2"/>
      <c r="V783" s="24"/>
      <c r="W783" s="24"/>
      <c r="X783" s="24"/>
      <c r="Y783" s="24"/>
      <c r="Z783" s="24"/>
      <c r="AA783" s="24"/>
      <c r="AB783" s="24"/>
      <c r="AC783" s="25"/>
      <c r="AD783" s="25"/>
      <c r="AE783" s="25"/>
      <c r="AF783" s="25"/>
      <c r="AG783" s="25"/>
      <c r="AH783" s="10"/>
      <c r="AI783" s="25"/>
      <c r="AJ783" s="25"/>
      <c r="AL783" s="3"/>
      <c r="AO783" s="9"/>
      <c r="AP783" s="9"/>
      <c r="AQ783" s="9"/>
      <c r="AR783" s="2"/>
      <c r="AS783" s="31"/>
    </row>
    <row r="784" spans="1:45">
      <c r="A784" s="13">
        <v>40909</v>
      </c>
      <c r="B784" s="3">
        <v>96.195899999999995</v>
      </c>
      <c r="C784" s="24">
        <v>141608</v>
      </c>
      <c r="D784" s="24">
        <v>132809</v>
      </c>
      <c r="E784" s="2">
        <v>8.3000000000000007</v>
      </c>
      <c r="F784" s="33">
        <v>4.5206000000000003E-2</v>
      </c>
      <c r="G784" s="33">
        <v>4.3582999999999997E-2</v>
      </c>
      <c r="H784" s="25">
        <v>3.85</v>
      </c>
      <c r="I784" s="25">
        <v>5.23</v>
      </c>
      <c r="J784" s="25">
        <v>0.08</v>
      </c>
      <c r="K784" s="25">
        <v>0.49</v>
      </c>
      <c r="L784" s="25">
        <v>0.03</v>
      </c>
      <c r="M784" s="33">
        <v>291.7</v>
      </c>
      <c r="N784" s="25"/>
      <c r="O784" s="31">
        <v>531.56650000000002</v>
      </c>
      <c r="P784" s="38">
        <v>165.57040000000001</v>
      </c>
      <c r="Q784" s="24"/>
      <c r="R784" s="38">
        <v>3.8169000000000002E-2</v>
      </c>
      <c r="T784" s="2"/>
      <c r="U784" s="2"/>
      <c r="V784" s="24"/>
      <c r="W784" s="24"/>
      <c r="X784" s="24"/>
      <c r="Y784" s="24"/>
      <c r="Z784" s="24"/>
      <c r="AA784" s="24"/>
      <c r="AB784" s="24"/>
      <c r="AC784" s="25"/>
      <c r="AD784" s="25"/>
      <c r="AE784" s="25"/>
      <c r="AF784" s="25"/>
      <c r="AG784" s="25"/>
      <c r="AH784" s="10"/>
      <c r="AI784" s="25"/>
      <c r="AJ784" s="25"/>
      <c r="AL784" s="3"/>
      <c r="AO784" s="9"/>
      <c r="AP784" s="9"/>
      <c r="AQ784" s="9"/>
      <c r="AR784" s="2"/>
      <c r="AS784" s="31"/>
    </row>
    <row r="785" spans="1:45">
      <c r="A785" s="13">
        <v>40940</v>
      </c>
      <c r="B785" s="3">
        <v>96.667199999999994</v>
      </c>
      <c r="C785" s="24">
        <v>142019</v>
      </c>
      <c r="D785" s="24">
        <v>133080</v>
      </c>
      <c r="E785" s="2">
        <v>8.3000000000000007</v>
      </c>
      <c r="F785" s="33">
        <v>4.3339999999999997E-2</v>
      </c>
      <c r="G785" s="33">
        <v>4.0589E-2</v>
      </c>
      <c r="H785" s="25">
        <v>3.85</v>
      </c>
      <c r="I785" s="25">
        <v>5.14</v>
      </c>
      <c r="J785" s="25">
        <v>0.1</v>
      </c>
      <c r="K785" s="25">
        <v>0.48</v>
      </c>
      <c r="L785" s="25">
        <v>0.09</v>
      </c>
      <c r="M785" s="33">
        <v>295.3</v>
      </c>
      <c r="N785" s="25"/>
      <c r="O785" s="31">
        <v>546.96349999999995</v>
      </c>
      <c r="P785" s="38">
        <v>160.42869999999999</v>
      </c>
      <c r="Q785" s="24"/>
      <c r="R785" s="38">
        <v>-0.113986</v>
      </c>
      <c r="T785" s="2"/>
      <c r="U785" s="2"/>
      <c r="V785" s="24"/>
      <c r="W785" s="24"/>
      <c r="X785" s="24"/>
      <c r="Y785" s="24"/>
      <c r="Z785" s="24"/>
      <c r="AA785" s="24"/>
      <c r="AB785" s="24"/>
      <c r="AC785" s="25"/>
      <c r="AD785" s="25"/>
      <c r="AE785" s="25"/>
      <c r="AF785" s="25"/>
      <c r="AG785" s="25"/>
      <c r="AH785" s="10"/>
      <c r="AI785" s="25"/>
      <c r="AJ785" s="25"/>
      <c r="AL785" s="3"/>
      <c r="AO785" s="9"/>
      <c r="AP785" s="9"/>
      <c r="AQ785" s="9"/>
      <c r="AR785" s="2"/>
      <c r="AS785" s="31"/>
    </row>
    <row r="786" spans="1:45">
      <c r="A786" s="13">
        <v>40969</v>
      </c>
      <c r="B786" s="3">
        <v>96.139300000000006</v>
      </c>
      <c r="C786" s="24">
        <v>142020</v>
      </c>
      <c r="D786" s="24">
        <v>133285</v>
      </c>
      <c r="E786" s="2">
        <v>8.1999999999999993</v>
      </c>
      <c r="F786" s="33">
        <v>3.2865999999999999E-2</v>
      </c>
      <c r="G786" s="33">
        <v>3.1331999999999999E-2</v>
      </c>
      <c r="H786" s="25">
        <v>3.99</v>
      </c>
      <c r="I786" s="25">
        <v>5.23</v>
      </c>
      <c r="J786" s="25">
        <v>0.13</v>
      </c>
      <c r="K786" s="25">
        <v>0.45</v>
      </c>
      <c r="L786" s="25">
        <v>0.08</v>
      </c>
      <c r="M786" s="33">
        <v>305.39999999999998</v>
      </c>
      <c r="N786" s="25"/>
      <c r="O786" s="31">
        <v>544.74954549999995</v>
      </c>
      <c r="P786" s="38">
        <v>157.1233</v>
      </c>
      <c r="Q786" s="24"/>
      <c r="R786" s="38">
        <v>-0.52967699999999995</v>
      </c>
      <c r="T786" s="2"/>
      <c r="U786" s="2"/>
      <c r="V786" s="24"/>
      <c r="W786" s="24"/>
      <c r="X786" s="24"/>
      <c r="Y786" s="24"/>
      <c r="Z786" s="24"/>
      <c r="AA786" s="24"/>
      <c r="AB786" s="24"/>
      <c r="AC786" s="25"/>
      <c r="AD786" s="25"/>
      <c r="AE786" s="25"/>
      <c r="AF786" s="25"/>
      <c r="AG786" s="25"/>
      <c r="AH786" s="10"/>
      <c r="AI786" s="25"/>
      <c r="AJ786" s="25"/>
      <c r="AL786" s="3"/>
      <c r="AO786" s="9"/>
      <c r="AP786" s="9"/>
      <c r="AQ786" s="9"/>
      <c r="AR786" s="2"/>
      <c r="AS786" s="31"/>
    </row>
    <row r="787" spans="1:45">
      <c r="A787" s="13">
        <v>41000</v>
      </c>
      <c r="B787" s="3">
        <v>96.857200000000006</v>
      </c>
      <c r="C787" s="24">
        <v>141934</v>
      </c>
      <c r="D787" s="24">
        <v>133397</v>
      </c>
      <c r="E787" s="2">
        <v>8.1</v>
      </c>
      <c r="F787" s="33">
        <v>-6.0340000000000003E-3</v>
      </c>
      <c r="G787" s="33">
        <v>-7.4970000000000002E-3</v>
      </c>
      <c r="H787" s="25">
        <v>3.96</v>
      </c>
      <c r="I787" s="25">
        <v>5.19</v>
      </c>
      <c r="J787" s="25">
        <v>0.14000000000000001</v>
      </c>
      <c r="K787" s="25">
        <v>0.46</v>
      </c>
      <c r="L787" s="25">
        <v>0.08</v>
      </c>
      <c r="M787" s="33">
        <v>297.8</v>
      </c>
      <c r="N787" s="25"/>
      <c r="O787" s="31">
        <v>538.52099999999996</v>
      </c>
      <c r="P787" s="38">
        <v>119.86320000000001</v>
      </c>
      <c r="Q787" s="24"/>
      <c r="R787" s="38">
        <v>-0.36114400000000002</v>
      </c>
      <c r="T787" s="2"/>
      <c r="U787" s="2"/>
      <c r="V787" s="24"/>
      <c r="W787" s="24"/>
      <c r="X787" s="24"/>
      <c r="Y787" s="24"/>
      <c r="Z787" s="24"/>
      <c r="AA787" s="24"/>
      <c r="AB787" s="24"/>
      <c r="AC787" s="25"/>
      <c r="AD787" s="25"/>
      <c r="AE787" s="25"/>
      <c r="AF787" s="25"/>
      <c r="AG787" s="25"/>
      <c r="AH787" s="10"/>
      <c r="AI787" s="25"/>
      <c r="AJ787" s="25"/>
      <c r="AL787" s="3"/>
      <c r="AO787" s="9"/>
      <c r="AP787" s="9"/>
      <c r="AQ787" s="9"/>
      <c r="AR787" s="2"/>
      <c r="AS787" s="31"/>
    </row>
    <row r="788" spans="1:45">
      <c r="A788" s="13">
        <v>41030</v>
      </c>
      <c r="B788" s="3">
        <v>97.104200000000006</v>
      </c>
      <c r="C788" s="24">
        <v>142302</v>
      </c>
      <c r="D788" s="24">
        <v>133522</v>
      </c>
      <c r="E788" s="2">
        <v>8.1999999999999993</v>
      </c>
      <c r="F788" s="33">
        <v>-5.9790000000000003E-2</v>
      </c>
      <c r="G788" s="33">
        <v>-6.2650999999999998E-2</v>
      </c>
      <c r="H788" s="25">
        <v>3.8</v>
      </c>
      <c r="I788" s="25">
        <v>5.07</v>
      </c>
      <c r="J788" s="25">
        <v>0.16</v>
      </c>
      <c r="K788" s="25">
        <v>0.43</v>
      </c>
      <c r="L788" s="25">
        <v>0.09</v>
      </c>
      <c r="M788" s="33">
        <v>273</v>
      </c>
      <c r="N788" s="25"/>
      <c r="O788" s="31">
        <v>526.90363639999998</v>
      </c>
      <c r="P788" s="38">
        <v>187.57320000000001</v>
      </c>
      <c r="Q788" s="24"/>
      <c r="R788" s="38">
        <v>-0.346943</v>
      </c>
      <c r="T788" s="2"/>
      <c r="U788" s="2"/>
      <c r="V788" s="24"/>
      <c r="W788" s="24"/>
      <c r="X788" s="24"/>
      <c r="Y788" s="24"/>
      <c r="Z788" s="24"/>
      <c r="AA788" s="24"/>
      <c r="AB788" s="24"/>
      <c r="AC788" s="25"/>
      <c r="AD788" s="25"/>
      <c r="AE788" s="25"/>
      <c r="AF788" s="25"/>
      <c r="AG788" s="25"/>
      <c r="AH788" s="10"/>
      <c r="AI788" s="25"/>
      <c r="AJ788" s="25"/>
      <c r="AL788" s="3"/>
      <c r="AO788" s="9"/>
      <c r="AP788" s="9"/>
      <c r="AQ788" s="9"/>
      <c r="AR788" s="2"/>
      <c r="AS788" s="31"/>
    </row>
    <row r="789" spans="1:45">
      <c r="A789" s="13">
        <v>41061</v>
      </c>
      <c r="B789" s="3">
        <v>97.132199999999997</v>
      </c>
      <c r="C789" s="24">
        <v>142448</v>
      </c>
      <c r="D789" s="24">
        <v>133609</v>
      </c>
      <c r="E789" s="2">
        <v>8.1999999999999993</v>
      </c>
      <c r="F789" s="33">
        <v>4.1465000000000002E-2</v>
      </c>
      <c r="G789" s="33">
        <v>3.9555E-2</v>
      </c>
      <c r="H789" s="25">
        <v>3.64</v>
      </c>
      <c r="I789" s="25">
        <v>5.0199999999999996</v>
      </c>
      <c r="J789" s="25">
        <v>0.16</v>
      </c>
      <c r="K789" s="25">
        <v>0.43</v>
      </c>
      <c r="L789" s="25">
        <v>0.09</v>
      </c>
      <c r="M789" s="33">
        <v>241.4</v>
      </c>
      <c r="N789" s="25"/>
      <c r="O789" s="31">
        <v>510.57761900000003</v>
      </c>
      <c r="P789" s="38">
        <v>236.3176</v>
      </c>
      <c r="Q789" s="24"/>
      <c r="R789" s="38">
        <v>-6.0921999999999997E-2</v>
      </c>
      <c r="T789" s="2"/>
      <c r="U789" s="2"/>
      <c r="V789" s="24"/>
      <c r="W789" s="24"/>
      <c r="X789" s="24"/>
      <c r="Y789" s="24"/>
      <c r="Z789" s="24"/>
      <c r="AA789" s="24"/>
      <c r="AB789" s="24"/>
      <c r="AC789" s="25"/>
      <c r="AD789" s="25"/>
      <c r="AE789" s="25"/>
      <c r="AF789" s="25"/>
      <c r="AG789" s="25"/>
      <c r="AH789" s="10"/>
      <c r="AI789" s="25"/>
      <c r="AJ789" s="25"/>
      <c r="AL789" s="3"/>
      <c r="AO789" s="9"/>
      <c r="AP789" s="9"/>
      <c r="AQ789" s="9"/>
      <c r="AR789" s="2"/>
      <c r="AS789" s="31"/>
    </row>
    <row r="790" spans="1:45">
      <c r="A790" s="13">
        <v>41091</v>
      </c>
      <c r="B790" s="3">
        <v>97.557100000000005</v>
      </c>
      <c r="C790" s="24">
        <v>142250</v>
      </c>
      <c r="D790" s="24">
        <v>133762</v>
      </c>
      <c r="E790" s="2">
        <v>8.1999999999999993</v>
      </c>
      <c r="F790" s="33">
        <v>1.4363000000000001E-2</v>
      </c>
      <c r="G790" s="33">
        <v>1.2598E-2</v>
      </c>
      <c r="H790" s="25">
        <v>3.4</v>
      </c>
      <c r="I790" s="25">
        <v>4.87</v>
      </c>
      <c r="J790" s="25">
        <v>0.16</v>
      </c>
      <c r="K790" s="25">
        <v>0.43</v>
      </c>
      <c r="L790" s="25">
        <v>0.1</v>
      </c>
      <c r="M790" s="33">
        <v>247.6</v>
      </c>
      <c r="N790" s="25"/>
      <c r="O790" s="31">
        <v>500.35476190000003</v>
      </c>
      <c r="P790" s="38">
        <v>200.64869999999999</v>
      </c>
      <c r="Q790" s="24"/>
      <c r="R790" s="38">
        <v>-0.26875399999999999</v>
      </c>
      <c r="T790" s="2"/>
      <c r="U790" s="2"/>
      <c r="V790" s="24"/>
      <c r="W790" s="24"/>
      <c r="X790" s="24"/>
      <c r="Y790" s="24"/>
      <c r="Z790" s="24"/>
      <c r="AA790" s="24"/>
      <c r="AB790" s="24"/>
      <c r="AC790" s="25"/>
      <c r="AD790" s="25"/>
      <c r="AE790" s="25"/>
      <c r="AF790" s="25"/>
      <c r="AG790" s="25"/>
      <c r="AH790" s="10"/>
      <c r="AI790" s="25"/>
      <c r="AJ790" s="25"/>
      <c r="AL790" s="3"/>
      <c r="AO790" s="9"/>
      <c r="AP790" s="9"/>
      <c r="AQ790" s="9"/>
      <c r="AR790" s="2"/>
      <c r="AS790" s="31"/>
    </row>
    <row r="791" spans="1:45">
      <c r="A791" s="13">
        <v>41122</v>
      </c>
      <c r="B791" s="3">
        <v>96.784999999999997</v>
      </c>
      <c r="C791" s="24">
        <v>142164</v>
      </c>
      <c r="D791" s="24">
        <v>133927</v>
      </c>
      <c r="E791" s="2">
        <v>8.1</v>
      </c>
      <c r="F791" s="33">
        <v>2.2744E-2</v>
      </c>
      <c r="G791" s="33">
        <v>1.9762999999999999E-2</v>
      </c>
      <c r="H791" s="25">
        <v>3.48</v>
      </c>
      <c r="I791" s="25">
        <v>4.91</v>
      </c>
      <c r="J791" s="25">
        <v>0.13</v>
      </c>
      <c r="K791" s="25">
        <v>0.43</v>
      </c>
      <c r="L791" s="25">
        <v>0.1</v>
      </c>
      <c r="M791" s="33">
        <v>271.3</v>
      </c>
      <c r="N791" s="25"/>
      <c r="O791" s="31">
        <v>510.48869569999999</v>
      </c>
      <c r="P791" s="38">
        <v>188.74449999999999</v>
      </c>
      <c r="Q791" s="24"/>
      <c r="R791" s="38">
        <v>-0.46722200000000003</v>
      </c>
      <c r="T791" s="2"/>
      <c r="U791" s="2"/>
      <c r="V791" s="24"/>
      <c r="W791" s="24"/>
      <c r="X791" s="24"/>
      <c r="Y791" s="24"/>
      <c r="Z791" s="24"/>
      <c r="AA791" s="24"/>
      <c r="AB791" s="24"/>
      <c r="AC791" s="25"/>
      <c r="AD791" s="25"/>
      <c r="AE791" s="25"/>
      <c r="AF791" s="25"/>
      <c r="AG791" s="25"/>
      <c r="AH791" s="10"/>
      <c r="AI791" s="25"/>
      <c r="AJ791" s="25"/>
      <c r="AL791" s="3"/>
      <c r="AO791" s="9"/>
      <c r="AP791" s="9"/>
      <c r="AQ791" s="9"/>
      <c r="AR791" s="2"/>
      <c r="AS791" s="31"/>
    </row>
    <row r="792" spans="1:45">
      <c r="A792" s="13">
        <v>41153</v>
      </c>
      <c r="B792" s="3">
        <v>96.954899999999995</v>
      </c>
      <c r="C792" s="24">
        <v>142974</v>
      </c>
      <c r="D792" s="24">
        <v>134065</v>
      </c>
      <c r="E792" s="2">
        <v>7.8</v>
      </c>
      <c r="F792" s="33">
        <v>2.5079000000000001E-2</v>
      </c>
      <c r="G792" s="33">
        <v>2.4236000000000001E-2</v>
      </c>
      <c r="H792" s="25">
        <v>3.49</v>
      </c>
      <c r="I792" s="25">
        <v>4.84</v>
      </c>
      <c r="J792" s="25">
        <v>0.14000000000000001</v>
      </c>
      <c r="K792" s="25">
        <v>0.41</v>
      </c>
      <c r="L792" s="25">
        <v>0.11</v>
      </c>
      <c r="M792" s="33">
        <v>282.3</v>
      </c>
      <c r="N792" s="25"/>
      <c r="O792" s="31">
        <v>525.30421049999995</v>
      </c>
      <c r="P792" s="38">
        <v>209.49209999999999</v>
      </c>
      <c r="Q792" s="24"/>
      <c r="R792" s="38">
        <v>-0.342891</v>
      </c>
      <c r="T792" s="2"/>
      <c r="U792" s="2"/>
      <c r="V792" s="24"/>
      <c r="W792" s="24"/>
      <c r="X792" s="24"/>
      <c r="Y792" s="24"/>
      <c r="Z792" s="24"/>
      <c r="AA792" s="24"/>
      <c r="AB792" s="24"/>
      <c r="AC792" s="25"/>
      <c r="AD792" s="25"/>
      <c r="AE792" s="25"/>
      <c r="AF792" s="25"/>
      <c r="AG792" s="25"/>
      <c r="AH792" s="10"/>
      <c r="AI792" s="25"/>
      <c r="AJ792" s="25"/>
      <c r="AL792" s="3"/>
      <c r="AO792" s="9"/>
      <c r="AP792" s="9"/>
      <c r="AQ792" s="9"/>
      <c r="AR792" s="2"/>
      <c r="AS792" s="31"/>
    </row>
    <row r="793" spans="1:45">
      <c r="A793" s="13">
        <v>41183</v>
      </c>
      <c r="B793" s="3">
        <v>96.840900000000005</v>
      </c>
      <c r="C793" s="24">
        <v>143328</v>
      </c>
      <c r="D793" s="24">
        <v>134225</v>
      </c>
      <c r="E793" s="2">
        <v>7.9</v>
      </c>
      <c r="F793" s="33">
        <v>-1.7849E-2</v>
      </c>
      <c r="G793" s="33">
        <v>-1.9789000000000001E-2</v>
      </c>
      <c r="H793" s="25">
        <v>3.47</v>
      </c>
      <c r="I793" s="25">
        <v>4.58</v>
      </c>
      <c r="J793" s="25">
        <v>0.16</v>
      </c>
      <c r="K793" s="25">
        <v>0.35</v>
      </c>
      <c r="L793" s="25">
        <v>0.1</v>
      </c>
      <c r="M793" s="33">
        <v>268.39999999999998</v>
      </c>
      <c r="N793" s="25"/>
      <c r="O793" s="31">
        <v>515.49913040000001</v>
      </c>
      <c r="P793" s="38">
        <v>176.78469999999999</v>
      </c>
      <c r="Q793" s="24"/>
      <c r="R793" s="38">
        <v>-0.30591800000000002</v>
      </c>
      <c r="T793" s="2"/>
      <c r="U793" s="2"/>
      <c r="V793" s="24"/>
      <c r="W793" s="24"/>
      <c r="X793" s="24"/>
      <c r="Y793" s="24"/>
      <c r="Z793" s="24"/>
      <c r="AA793" s="24"/>
      <c r="AB793" s="24"/>
      <c r="AC793" s="25"/>
      <c r="AD793" s="25"/>
      <c r="AE793" s="25"/>
      <c r="AF793" s="25"/>
      <c r="AG793" s="25"/>
      <c r="AH793" s="10"/>
      <c r="AI793" s="25"/>
      <c r="AJ793" s="25"/>
      <c r="AL793" s="3"/>
      <c r="AO793" s="9"/>
      <c r="AP793" s="9"/>
      <c r="AQ793" s="9"/>
      <c r="AR793" s="2"/>
      <c r="AS793" s="31"/>
    </row>
    <row r="794" spans="1:45">
      <c r="A794" s="13">
        <v>41214</v>
      </c>
      <c r="B794" s="3">
        <v>98.111800000000002</v>
      </c>
      <c r="C794" s="24">
        <v>143277</v>
      </c>
      <c r="D794" s="24">
        <v>134472</v>
      </c>
      <c r="E794" s="2">
        <v>7.8</v>
      </c>
      <c r="F794" s="33">
        <v>5.1900000000000002E-3</v>
      </c>
      <c r="G794" s="33">
        <v>2.8470000000000001E-3</v>
      </c>
      <c r="H794" s="25">
        <v>3.5</v>
      </c>
      <c r="I794" s="25">
        <v>4.51</v>
      </c>
      <c r="J794" s="25">
        <v>0.16</v>
      </c>
      <c r="K794" s="25">
        <v>0.31</v>
      </c>
      <c r="L794" s="25">
        <v>0.09</v>
      </c>
      <c r="M794" s="33">
        <v>256.60000000000002</v>
      </c>
      <c r="N794" s="25"/>
      <c r="O794" s="31">
        <v>506.32714290000001</v>
      </c>
      <c r="P794" s="38">
        <v>269.14949999999999</v>
      </c>
      <c r="Q794" s="24"/>
      <c r="R794" s="38">
        <v>-0.23861299999999999</v>
      </c>
      <c r="T794" s="2"/>
      <c r="U794" s="2"/>
      <c r="V794" s="24"/>
      <c r="W794" s="24"/>
      <c r="X794" s="24"/>
      <c r="Y794" s="24"/>
      <c r="Z794" s="24"/>
      <c r="AA794" s="24"/>
      <c r="AB794" s="24"/>
      <c r="AC794" s="25"/>
      <c r="AD794" s="25"/>
      <c r="AE794" s="25"/>
      <c r="AF794" s="25"/>
      <c r="AG794" s="25"/>
      <c r="AH794" s="10"/>
      <c r="AI794" s="25"/>
      <c r="AJ794" s="25"/>
      <c r="AL794" s="3"/>
      <c r="AO794" s="9"/>
      <c r="AP794" s="9"/>
      <c r="AQ794" s="9"/>
      <c r="AR794" s="2"/>
      <c r="AS794" s="31"/>
    </row>
    <row r="795" spans="1:45">
      <c r="A795" s="13">
        <v>41244</v>
      </c>
      <c r="B795" s="3">
        <v>98.150199999999998</v>
      </c>
      <c r="C795" s="24">
        <v>143305</v>
      </c>
      <c r="D795" s="24">
        <v>134691</v>
      </c>
      <c r="E795" s="2">
        <v>7.8</v>
      </c>
      <c r="F795" s="33">
        <v>8.1919999999999996E-3</v>
      </c>
      <c r="G795" s="33">
        <v>7.0679999999999996E-3</v>
      </c>
      <c r="H795" s="25">
        <v>3.65</v>
      </c>
      <c r="I795" s="25">
        <v>4.63</v>
      </c>
      <c r="J795" s="25">
        <v>0.16</v>
      </c>
      <c r="K795" s="25">
        <v>0.31</v>
      </c>
      <c r="L795" s="25">
        <v>7.0000000000000007E-2</v>
      </c>
      <c r="M795" s="33">
        <v>252.4</v>
      </c>
      <c r="N795" s="25"/>
      <c r="O795" s="31">
        <v>525.08900000000006</v>
      </c>
      <c r="P795" s="38">
        <v>229.4777</v>
      </c>
      <c r="Q795" s="24"/>
      <c r="R795" s="38">
        <v>-0.34999400000000003</v>
      </c>
      <c r="T795" s="2"/>
      <c r="U795" s="2"/>
      <c r="V795" s="24"/>
      <c r="W795" s="24"/>
      <c r="X795" s="24"/>
      <c r="Y795" s="24"/>
      <c r="Z795" s="24"/>
      <c r="AA795" s="24"/>
      <c r="AB795" s="24"/>
      <c r="AC795" s="25"/>
      <c r="AD795" s="25"/>
      <c r="AE795" s="25"/>
      <c r="AF795" s="25"/>
      <c r="AG795" s="25"/>
      <c r="AH795" s="10"/>
      <c r="AI795" s="25"/>
      <c r="AJ795" s="25"/>
      <c r="AL795" s="3"/>
      <c r="AO795" s="9"/>
      <c r="AP795" s="9"/>
      <c r="AQ795" s="9"/>
      <c r="AR795" s="2"/>
      <c r="AS795" s="31"/>
    </row>
    <row r="796" spans="1:45">
      <c r="A796" s="13">
        <v>41275</v>
      </c>
      <c r="B796" s="3">
        <v>98.169300000000007</v>
      </c>
      <c r="C796" s="24">
        <v>143322</v>
      </c>
      <c r="D796" s="24">
        <v>134839</v>
      </c>
      <c r="E796" s="2">
        <v>7.9</v>
      </c>
      <c r="F796" s="33"/>
      <c r="G796" s="33"/>
      <c r="H796" s="25">
        <v>3.8</v>
      </c>
      <c r="I796" s="25">
        <v>4.7300000000000004</v>
      </c>
      <c r="J796" s="25">
        <v>0.14000000000000001</v>
      </c>
      <c r="K796" s="25">
        <v>0.3</v>
      </c>
      <c r="L796" s="25">
        <v>7.0000000000000007E-2</v>
      </c>
      <c r="M796" s="34">
        <v>270</v>
      </c>
      <c r="N796" s="25"/>
      <c r="O796" s="31">
        <v>535.15142860000003</v>
      </c>
      <c r="P796" s="24"/>
      <c r="Q796" s="24"/>
      <c r="R796" s="38"/>
      <c r="T796" s="2"/>
      <c r="U796" s="2"/>
      <c r="V796" s="24"/>
      <c r="W796" s="24"/>
      <c r="X796" s="24"/>
      <c r="Y796" s="24"/>
      <c r="Z796" s="24"/>
      <c r="AA796" s="24"/>
      <c r="AB796" s="24"/>
      <c r="AC796" s="25"/>
      <c r="AD796" s="25"/>
      <c r="AE796" s="25"/>
      <c r="AF796" s="25"/>
      <c r="AG796" s="25"/>
      <c r="AH796" s="10"/>
      <c r="AI796" s="25"/>
      <c r="AJ796" s="25"/>
      <c r="AL796" s="3"/>
      <c r="AR796" s="2"/>
      <c r="AS796" s="31"/>
    </row>
    <row r="797" spans="1:45">
      <c r="A797" s="13">
        <v>41306</v>
      </c>
      <c r="B797" s="3">
        <v>98.825999999999993</v>
      </c>
      <c r="C797" s="24">
        <v>143492</v>
      </c>
      <c r="D797" s="24">
        <v>135171</v>
      </c>
      <c r="E797" s="2">
        <v>7.7</v>
      </c>
      <c r="F797" s="33"/>
      <c r="G797" s="33"/>
      <c r="H797" s="25">
        <v>3.9</v>
      </c>
      <c r="I797" s="25">
        <v>4.8499999999999996</v>
      </c>
      <c r="J797" s="25">
        <v>0.15</v>
      </c>
      <c r="K797" s="25">
        <v>0.28999999999999998</v>
      </c>
      <c r="L797" s="25">
        <v>0.1</v>
      </c>
      <c r="M797" s="34">
        <v>275</v>
      </c>
      <c r="N797" s="25"/>
      <c r="O797" s="31">
        <v>539.41999999999996</v>
      </c>
      <c r="P797" s="24"/>
      <c r="Q797" s="24"/>
      <c r="R797" s="38"/>
      <c r="T797" s="2"/>
      <c r="U797" s="2"/>
      <c r="V797" s="24"/>
      <c r="W797" s="24"/>
      <c r="X797" s="24"/>
      <c r="Y797" s="24"/>
      <c r="Z797" s="24"/>
      <c r="AA797" s="24"/>
      <c r="AB797" s="24"/>
      <c r="AC797" s="25"/>
      <c r="AD797" s="25"/>
      <c r="AE797" s="25"/>
      <c r="AF797" s="25"/>
      <c r="AG797" s="25"/>
      <c r="AH797" s="10"/>
      <c r="AI797" s="25"/>
      <c r="AJ797" s="25"/>
      <c r="AL797" s="3"/>
      <c r="AR797" s="2"/>
      <c r="AS797" s="31"/>
    </row>
    <row r="798" spans="1:45">
      <c r="A798" s="13">
        <v>41334</v>
      </c>
      <c r="B798" s="3">
        <v>99.083399999999997</v>
      </c>
      <c r="C798" s="24">
        <v>143286</v>
      </c>
      <c r="D798" s="24">
        <v>135313</v>
      </c>
      <c r="E798" s="2">
        <v>7.6</v>
      </c>
      <c r="F798" s="33"/>
      <c r="G798" s="33"/>
      <c r="H798" s="25">
        <v>3.93</v>
      </c>
      <c r="I798" s="25">
        <v>4.8499999999999996</v>
      </c>
      <c r="J798" s="25">
        <v>0.14000000000000001</v>
      </c>
      <c r="K798" s="25">
        <v>0.28000000000000003</v>
      </c>
      <c r="L798" s="25">
        <v>0.09</v>
      </c>
      <c r="M798" s="34">
        <v>271.60000000000002</v>
      </c>
      <c r="N798" s="25"/>
      <c r="O798" s="31">
        <v>539.37649999999996</v>
      </c>
      <c r="P798" s="24"/>
      <c r="Q798" s="24"/>
      <c r="R798" s="38"/>
      <c r="T798" s="2"/>
      <c r="U798" s="2"/>
      <c r="V798" s="24"/>
      <c r="W798" s="24"/>
      <c r="X798" s="24"/>
      <c r="Y798" s="24"/>
      <c r="Z798" s="24"/>
      <c r="AA798" s="24"/>
      <c r="AB798" s="24"/>
      <c r="AC798" s="25"/>
      <c r="AD798" s="25"/>
      <c r="AE798" s="25"/>
      <c r="AF798" s="25"/>
      <c r="AG798" s="25"/>
      <c r="AH798" s="10"/>
      <c r="AI798" s="25"/>
      <c r="AJ798" s="25"/>
      <c r="AL798" s="3"/>
      <c r="AR798" s="2"/>
      <c r="AS798" s="31"/>
    </row>
    <row r="799" spans="1:45">
      <c r="A799" s="13">
        <v>41365</v>
      </c>
      <c r="B799" s="3">
        <v>98.803600000000003</v>
      </c>
      <c r="C799" s="24">
        <v>143579</v>
      </c>
      <c r="D799" s="24">
        <v>135512</v>
      </c>
      <c r="E799" s="2">
        <v>7.5</v>
      </c>
      <c r="F799" s="33"/>
      <c r="G799" s="33"/>
      <c r="H799" s="25">
        <v>3.73</v>
      </c>
      <c r="I799" s="25">
        <v>4.59</v>
      </c>
      <c r="J799" s="25">
        <v>0.15</v>
      </c>
      <c r="K799" s="25">
        <v>0.28000000000000003</v>
      </c>
      <c r="L799" s="25">
        <v>0.06</v>
      </c>
      <c r="M799" s="34">
        <v>276.5</v>
      </c>
      <c r="N799" s="25"/>
      <c r="O799" s="31">
        <v>531.04272730000002</v>
      </c>
      <c r="P799" s="24"/>
      <c r="Q799" s="24"/>
      <c r="R799" s="38"/>
      <c r="T799" s="2"/>
      <c r="U799" s="2"/>
      <c r="V799" s="24"/>
      <c r="W799" s="24"/>
      <c r="X799" s="24"/>
      <c r="Y799" s="24"/>
      <c r="Z799" s="24"/>
      <c r="AA799" s="24"/>
      <c r="AB799" s="24"/>
      <c r="AC799" s="25"/>
      <c r="AD799" s="25"/>
      <c r="AE799" s="25"/>
      <c r="AF799" s="25"/>
      <c r="AG799" s="25"/>
      <c r="AH799" s="10"/>
      <c r="AI799" s="25"/>
      <c r="AJ799" s="25"/>
      <c r="AL799" s="3"/>
      <c r="AS799" s="31"/>
    </row>
    <row r="800" spans="1:45">
      <c r="A800" s="13">
        <v>41395</v>
      </c>
      <c r="B800" s="3">
        <v>98.9345</v>
      </c>
      <c r="C800" s="24">
        <v>143898</v>
      </c>
      <c r="D800" s="24">
        <v>135688</v>
      </c>
      <c r="E800" s="2">
        <v>7.6</v>
      </c>
      <c r="F800" s="33"/>
      <c r="G800" s="33"/>
      <c r="H800" s="25">
        <v>3.89</v>
      </c>
      <c r="I800" s="25">
        <v>4.7300000000000004</v>
      </c>
      <c r="J800" s="25">
        <v>0.11</v>
      </c>
      <c r="K800" s="25">
        <v>0.28000000000000003</v>
      </c>
      <c r="L800" s="25">
        <v>0.04</v>
      </c>
      <c r="M800" s="34">
        <v>276.8</v>
      </c>
      <c r="N800" s="25"/>
      <c r="O800" s="31">
        <v>524.76636359999998</v>
      </c>
      <c r="P800" s="24"/>
      <c r="Q800" s="24"/>
      <c r="R800" s="38"/>
      <c r="T800" s="2"/>
      <c r="U800" s="2"/>
      <c r="V800" s="24"/>
      <c r="W800" s="24"/>
      <c r="X800" s="24"/>
      <c r="Y800" s="24"/>
      <c r="Z800" s="24"/>
      <c r="AA800" s="24"/>
      <c r="AB800" s="24"/>
      <c r="AC800" s="25"/>
      <c r="AD800" s="25"/>
      <c r="AE800" s="25"/>
      <c r="AF800" s="25"/>
      <c r="AG800" s="25"/>
      <c r="AH800" s="25"/>
      <c r="AI800" s="25"/>
      <c r="AJ800" s="25"/>
      <c r="AL800" s="3"/>
      <c r="AS800" s="31"/>
    </row>
    <row r="801" spans="1:45">
      <c r="A801" s="13">
        <v>41426</v>
      </c>
      <c r="B801" s="3">
        <v>99.146600000000007</v>
      </c>
      <c r="C801" s="24">
        <v>144058</v>
      </c>
      <c r="D801" s="24">
        <v>135860</v>
      </c>
      <c r="E801" s="2">
        <v>7.6</v>
      </c>
      <c r="F801" s="33"/>
      <c r="G801" s="33"/>
      <c r="H801" s="25">
        <v>4.2699999999999996</v>
      </c>
      <c r="I801" s="25">
        <v>5.19</v>
      </c>
      <c r="J801" s="25">
        <v>0.09</v>
      </c>
      <c r="K801" s="25">
        <v>0.28000000000000003</v>
      </c>
      <c r="L801" s="25">
        <v>0.05</v>
      </c>
      <c r="M801" s="34">
        <v>277.10000000000002</v>
      </c>
      <c r="N801" s="25"/>
      <c r="O801" s="31">
        <v>523.70600000000002</v>
      </c>
      <c r="P801" s="24"/>
      <c r="Q801" s="24"/>
      <c r="R801" s="38"/>
      <c r="T801" s="2"/>
      <c r="U801" s="2"/>
      <c r="V801" s="24"/>
      <c r="W801" s="24"/>
      <c r="X801" s="24"/>
      <c r="Y801" s="24"/>
      <c r="Z801" s="24"/>
      <c r="AA801" s="24"/>
      <c r="AB801" s="24"/>
      <c r="AC801" s="25"/>
      <c r="AD801" s="25"/>
      <c r="AE801" s="25"/>
      <c r="AF801" s="25"/>
      <c r="AG801" s="25"/>
      <c r="AH801" s="25"/>
      <c r="AI801" s="25"/>
      <c r="AJ801" s="25"/>
      <c r="AL801" s="3"/>
      <c r="AS801" s="31"/>
    </row>
    <row r="802" spans="1:45">
      <c r="A802" s="13">
        <v>41456</v>
      </c>
      <c r="B802" s="3">
        <v>99.072199999999995</v>
      </c>
      <c r="C802" s="24">
        <v>144285</v>
      </c>
      <c r="D802" s="24">
        <v>135949</v>
      </c>
      <c r="E802" s="2">
        <v>7.4</v>
      </c>
      <c r="F802" s="33"/>
      <c r="G802" s="33"/>
      <c r="H802" s="25">
        <v>4.34</v>
      </c>
      <c r="I802" s="25">
        <v>5.32</v>
      </c>
      <c r="J802" s="25">
        <v>0.09</v>
      </c>
      <c r="K802" s="25">
        <v>0.28000000000000003</v>
      </c>
      <c r="L802" s="25">
        <v>0.04</v>
      </c>
      <c r="M802" s="34">
        <v>306.5</v>
      </c>
      <c r="N802" s="25"/>
      <c r="O802" s="31">
        <v>520.82863640000005</v>
      </c>
      <c r="P802" s="24"/>
      <c r="Q802" s="24"/>
      <c r="R802" s="38"/>
      <c r="T802" s="2"/>
      <c r="U802" s="2"/>
      <c r="V802" s="24"/>
      <c r="W802" s="24"/>
      <c r="X802" s="24"/>
      <c r="Y802" s="24"/>
      <c r="Z802" s="24"/>
      <c r="AA802" s="24"/>
      <c r="AB802" s="24"/>
      <c r="AC802" s="25"/>
      <c r="AD802" s="25"/>
      <c r="AE802" s="25"/>
      <c r="AF802" s="25"/>
      <c r="AG802" s="25"/>
      <c r="AH802" s="25"/>
      <c r="AI802" s="25"/>
      <c r="AJ802" s="25"/>
      <c r="AL802" s="3"/>
      <c r="AS802" s="31"/>
    </row>
    <row r="803" spans="1:45">
      <c r="B803" s="3">
        <v>99.475300000000004</v>
      </c>
      <c r="C803" s="24">
        <v>144170</v>
      </c>
      <c r="D803" s="24">
        <v>136142</v>
      </c>
      <c r="E803" s="2">
        <v>7.3</v>
      </c>
      <c r="F803" s="33"/>
      <c r="G803" s="33"/>
      <c r="H803" s="25">
        <v>4.54</v>
      </c>
      <c r="I803" s="25">
        <v>5.42</v>
      </c>
      <c r="J803" s="25">
        <v>0.08</v>
      </c>
      <c r="K803" s="25">
        <v>0.28000000000000003</v>
      </c>
      <c r="L803" s="25">
        <v>0.04</v>
      </c>
      <c r="M803" s="33">
        <v>302.8</v>
      </c>
      <c r="N803" s="5"/>
      <c r="O803" s="31">
        <v>525.33000000000004</v>
      </c>
    </row>
    <row r="804" spans="1:45">
      <c r="B804" s="3">
        <v>100.04389999999999</v>
      </c>
      <c r="C804" s="24">
        <v>144303</v>
      </c>
      <c r="D804" s="24">
        <v>136290</v>
      </c>
      <c r="E804" s="2">
        <v>7.2</v>
      </c>
      <c r="F804" s="33"/>
      <c r="G804" s="33"/>
      <c r="H804" s="25">
        <v>4.6399999999999997</v>
      </c>
      <c r="I804" s="25">
        <v>5.47</v>
      </c>
      <c r="J804" s="25">
        <v>0.08</v>
      </c>
      <c r="K804" s="25">
        <v>0.28000000000000003</v>
      </c>
      <c r="L804" s="25">
        <v>0.02</v>
      </c>
      <c r="M804" s="33">
        <v>304.5</v>
      </c>
      <c r="N804" s="5"/>
      <c r="O804" s="31">
        <v>521.23500000000001</v>
      </c>
    </row>
    <row r="805" spans="1:45">
      <c r="F805" s="33"/>
      <c r="G805" s="33"/>
      <c r="M805" s="33"/>
    </row>
    <row r="806" spans="1:45">
      <c r="F806" s="33" t="s">
        <v>3</v>
      </c>
      <c r="G806" s="33" t="s">
        <v>3</v>
      </c>
      <c r="M806" s="33"/>
    </row>
    <row r="807" spans="1:45">
      <c r="F807" s="33" t="s">
        <v>3</v>
      </c>
      <c r="G807" s="33" t="s">
        <v>3</v>
      </c>
      <c r="M807" s="33"/>
    </row>
    <row r="808" spans="1:45">
      <c r="F808" s="33"/>
      <c r="G808" s="33"/>
      <c r="M808" s="33"/>
    </row>
    <row r="809" spans="1:45">
      <c r="F809" s="33"/>
      <c r="G809" s="33"/>
      <c r="M809" s="33"/>
    </row>
    <row r="810" spans="1:45">
      <c r="F810" s="33"/>
      <c r="G810" s="33"/>
      <c r="M810" s="33"/>
    </row>
    <row r="811" spans="1:45">
      <c r="F811" s="33"/>
      <c r="G811" s="33"/>
      <c r="M811" s="33"/>
    </row>
    <row r="812" spans="1:45">
      <c r="F812" s="33"/>
      <c r="G812" s="33"/>
      <c r="M812" s="33"/>
    </row>
    <row r="813" spans="1:45">
      <c r="F813" s="33"/>
      <c r="G813" s="33"/>
      <c r="M813" s="33"/>
    </row>
    <row r="814" spans="1:45">
      <c r="F814" s="33"/>
      <c r="G814" s="33"/>
      <c r="M814" s="33"/>
    </row>
    <row r="815" spans="1:45">
      <c r="F815" s="33"/>
      <c r="G815" s="33"/>
      <c r="M815" s="33"/>
    </row>
    <row r="816" spans="1:45">
      <c r="F816" s="33"/>
      <c r="G816" s="33"/>
      <c r="M816" s="33"/>
    </row>
    <row r="817" spans="6:13">
      <c r="F817" s="33"/>
      <c r="G817" s="33"/>
      <c r="M817" s="33"/>
    </row>
    <row r="818" spans="6:13">
      <c r="F818" s="33"/>
      <c r="G818" s="33"/>
      <c r="M818" s="33"/>
    </row>
    <row r="819" spans="6:13">
      <c r="F819" s="33"/>
      <c r="G819" s="33"/>
      <c r="M819" s="33"/>
    </row>
    <row r="820" spans="6:13">
      <c r="F820" s="33"/>
      <c r="G820" s="33"/>
      <c r="M820" s="33"/>
    </row>
    <row r="821" spans="6:13">
      <c r="F821" s="33"/>
      <c r="G821" s="33"/>
      <c r="M821" s="33"/>
    </row>
    <row r="822" spans="6:13">
      <c r="F822" s="33"/>
      <c r="G822" s="33"/>
      <c r="M822" s="33"/>
    </row>
    <row r="823" spans="6:13">
      <c r="F823" s="33"/>
      <c r="G823" s="33"/>
      <c r="M823" s="33"/>
    </row>
    <row r="824" spans="6:13">
      <c r="F824" s="33"/>
      <c r="G824" s="33"/>
      <c r="M824" s="33"/>
    </row>
    <row r="825" spans="6:13">
      <c r="F825" s="33"/>
      <c r="G825" s="33"/>
      <c r="M825" s="33"/>
    </row>
    <row r="826" spans="6:13">
      <c r="F826" s="33"/>
      <c r="G826" s="33"/>
      <c r="M826" s="33"/>
    </row>
    <row r="827" spans="6:13">
      <c r="F827" s="33"/>
      <c r="G827" s="33"/>
      <c r="M827" s="33"/>
    </row>
    <row r="828" spans="6:13">
      <c r="F828" s="33"/>
      <c r="G828" s="33"/>
      <c r="M828" s="33"/>
    </row>
    <row r="829" spans="6:13">
      <c r="F829" s="33"/>
      <c r="G829" s="33"/>
      <c r="M829" s="33"/>
    </row>
    <row r="830" spans="6:13">
      <c r="F830" s="33"/>
      <c r="G830" s="33"/>
      <c r="M830" s="33"/>
    </row>
    <row r="831" spans="6:13">
      <c r="F831" s="33"/>
      <c r="G831" s="33"/>
      <c r="M831" s="33"/>
    </row>
    <row r="832" spans="6:13">
      <c r="F832" s="33"/>
      <c r="G832" s="33"/>
      <c r="M832" s="33"/>
    </row>
    <row r="833" spans="6:13">
      <c r="F833" s="33"/>
      <c r="G833" s="33"/>
      <c r="M833" s="33"/>
    </row>
    <row r="834" spans="6:13">
      <c r="F834" s="33"/>
      <c r="G834" s="33"/>
      <c r="M834" s="33"/>
    </row>
    <row r="835" spans="6:13">
      <c r="F835" s="33"/>
      <c r="G835" s="33"/>
      <c r="M835" s="33"/>
    </row>
    <row r="836" spans="6:13">
      <c r="F836" s="33"/>
      <c r="G836" s="33"/>
      <c r="M836" s="33"/>
    </row>
    <row r="837" spans="6:13">
      <c r="F837" s="33"/>
      <c r="G837" s="33"/>
      <c r="M837" s="33"/>
    </row>
    <row r="838" spans="6:13">
      <c r="F838" s="33"/>
      <c r="G838" s="33"/>
      <c r="M838" s="33"/>
    </row>
    <row r="839" spans="6:13">
      <c r="F839" s="33"/>
      <c r="G839" s="33"/>
      <c r="M839" s="33"/>
    </row>
    <row r="840" spans="6:13">
      <c r="F840" s="33"/>
      <c r="G840" s="33"/>
      <c r="M840" s="33"/>
    </row>
    <row r="841" spans="6:13">
      <c r="F841" s="33"/>
      <c r="G841" s="33"/>
      <c r="M841" s="33"/>
    </row>
    <row r="842" spans="6:13">
      <c r="F842" s="33"/>
      <c r="G842" s="33"/>
      <c r="M842" s="33"/>
    </row>
    <row r="843" spans="6:13">
      <c r="F843" s="33"/>
      <c r="G843" s="33"/>
      <c r="M843" s="33"/>
    </row>
    <row r="844" spans="6:13">
      <c r="F844" s="33"/>
      <c r="G844" s="33"/>
      <c r="M844" s="33"/>
    </row>
    <row r="845" spans="6:13">
      <c r="F845" s="33"/>
      <c r="G845" s="33"/>
      <c r="M845" s="33"/>
    </row>
    <row r="846" spans="6:13">
      <c r="F846" s="33"/>
      <c r="G846" s="33"/>
      <c r="M846" s="33"/>
    </row>
    <row r="847" spans="6:13">
      <c r="F847" s="33"/>
      <c r="G847" s="33"/>
      <c r="M847" s="33"/>
    </row>
    <row r="848" spans="6:13">
      <c r="F848" s="33"/>
      <c r="G848" s="33"/>
      <c r="M848" s="33"/>
    </row>
    <row r="849" spans="6:13">
      <c r="F849" s="33"/>
      <c r="G849" s="33"/>
      <c r="M849" s="33"/>
    </row>
    <row r="850" spans="6:13">
      <c r="F850" s="33"/>
      <c r="G850" s="33"/>
      <c r="M850" s="33"/>
    </row>
    <row r="851" spans="6:13">
      <c r="F851" s="33"/>
      <c r="G851" s="33"/>
      <c r="M851" s="33"/>
    </row>
    <row r="852" spans="6:13">
      <c r="F852" s="33"/>
      <c r="G852" s="33"/>
      <c r="M852" s="33"/>
    </row>
    <row r="853" spans="6:13">
      <c r="F853" s="33"/>
      <c r="G853" s="33"/>
      <c r="M853" s="33"/>
    </row>
    <row r="854" spans="6:13">
      <c r="F854" s="33"/>
      <c r="G854" s="33"/>
      <c r="M854" s="33"/>
    </row>
    <row r="855" spans="6:13">
      <c r="F855" s="33"/>
      <c r="G855" s="33"/>
      <c r="M855" s="33"/>
    </row>
    <row r="856" spans="6:13">
      <c r="F856" s="33"/>
      <c r="G856" s="33"/>
      <c r="M856" s="33"/>
    </row>
    <row r="857" spans="6:13">
      <c r="F857" s="33"/>
      <c r="G857" s="33"/>
      <c r="M857" s="33"/>
    </row>
    <row r="858" spans="6:13">
      <c r="F858" s="33"/>
      <c r="G858" s="33"/>
      <c r="M858" s="33"/>
    </row>
    <row r="859" spans="6:13">
      <c r="F859" s="33"/>
      <c r="G859" s="33"/>
      <c r="M859" s="33"/>
    </row>
    <row r="860" spans="6:13">
      <c r="F860" s="33"/>
      <c r="G860" s="33"/>
      <c r="M860" s="33"/>
    </row>
    <row r="861" spans="6:13">
      <c r="F861" s="33"/>
      <c r="G861" s="33"/>
      <c r="M861" s="33"/>
    </row>
    <row r="862" spans="6:13">
      <c r="F862" s="33"/>
      <c r="G862" s="33"/>
      <c r="M862" s="33"/>
    </row>
    <row r="863" spans="6:13">
      <c r="F863" s="33"/>
      <c r="G863" s="33"/>
      <c r="M863" s="33"/>
    </row>
    <row r="864" spans="6:13">
      <c r="F864" s="33"/>
      <c r="G864" s="33"/>
      <c r="M864" s="33"/>
    </row>
    <row r="865" spans="6:13">
      <c r="F865" s="33"/>
      <c r="G865" s="33"/>
      <c r="M865" s="33"/>
    </row>
    <row r="866" spans="6:13">
      <c r="F866" s="33"/>
      <c r="G866" s="33"/>
      <c r="M866" s="33"/>
    </row>
    <row r="867" spans="6:13">
      <c r="F867" s="33"/>
      <c r="G867" s="33"/>
      <c r="M867" s="33"/>
    </row>
    <row r="868" spans="6:13">
      <c r="F868" s="33"/>
      <c r="G868" s="33"/>
      <c r="M868" s="33"/>
    </row>
    <row r="869" spans="6:13">
      <c r="F869" s="33"/>
      <c r="G869" s="33"/>
      <c r="M869" s="33"/>
    </row>
    <row r="870" spans="6:13">
      <c r="F870" s="33"/>
      <c r="G870" s="33"/>
      <c r="M870" s="33"/>
    </row>
    <row r="871" spans="6:13">
      <c r="F871" s="33"/>
      <c r="G871" s="33"/>
      <c r="M871" s="33"/>
    </row>
    <row r="872" spans="6:13">
      <c r="F872" s="33"/>
      <c r="G872" s="33"/>
      <c r="M872" s="33"/>
    </row>
    <row r="873" spans="6:13">
      <c r="F873" s="33"/>
      <c r="G873" s="33"/>
      <c r="M873" s="33"/>
    </row>
    <row r="874" spans="6:13">
      <c r="F874" s="33"/>
      <c r="G874" s="33"/>
      <c r="M874" s="33"/>
    </row>
    <row r="875" spans="6:13">
      <c r="F875" s="33"/>
      <c r="G875" s="33"/>
      <c r="M875" s="33"/>
    </row>
    <row r="876" spans="6:13">
      <c r="F876" s="33"/>
      <c r="G876" s="33"/>
      <c r="M876" s="33"/>
    </row>
    <row r="877" spans="6:13">
      <c r="F877" s="33"/>
      <c r="G877" s="33"/>
      <c r="M877" s="33"/>
    </row>
    <row r="878" spans="6:13">
      <c r="F878" s="33"/>
      <c r="G878" s="33"/>
      <c r="M878" s="33"/>
    </row>
    <row r="879" spans="6:13">
      <c r="F879" s="33"/>
      <c r="G879" s="33"/>
      <c r="M879" s="33"/>
    </row>
    <row r="880" spans="6:13">
      <c r="F880" s="33"/>
      <c r="G880" s="33"/>
      <c r="M880" s="33"/>
    </row>
    <row r="881" spans="6:13">
      <c r="F881" s="33"/>
      <c r="G881" s="33"/>
      <c r="M881" s="33"/>
    </row>
    <row r="882" spans="6:13">
      <c r="F882" s="33"/>
      <c r="G882" s="33"/>
      <c r="M882" s="33"/>
    </row>
    <row r="883" spans="6:13">
      <c r="F883" s="33"/>
      <c r="G883" s="33"/>
      <c r="M883" s="33"/>
    </row>
    <row r="884" spans="6:13">
      <c r="F884" s="33"/>
      <c r="G884" s="33"/>
      <c r="M884" s="33"/>
    </row>
    <row r="885" spans="6:13">
      <c r="F885" s="33"/>
      <c r="G885" s="33"/>
      <c r="M885" s="33"/>
    </row>
    <row r="886" spans="6:13">
      <c r="F886" s="33"/>
      <c r="G886" s="33"/>
      <c r="M886" s="33"/>
    </row>
    <row r="887" spans="6:13">
      <c r="F887" s="33"/>
      <c r="G887" s="33"/>
      <c r="M887" s="33"/>
    </row>
    <row r="888" spans="6:13">
      <c r="F888" s="33"/>
      <c r="G888" s="33"/>
      <c r="M888" s="33"/>
    </row>
    <row r="889" spans="6:13">
      <c r="F889" s="33"/>
      <c r="G889" s="33"/>
      <c r="M889" s="33"/>
    </row>
    <row r="890" spans="6:13">
      <c r="F890" s="33"/>
      <c r="G890" s="33"/>
      <c r="M890" s="33"/>
    </row>
    <row r="891" spans="6:13">
      <c r="F891" s="33"/>
      <c r="G891" s="33"/>
      <c r="M891" s="33"/>
    </row>
    <row r="892" spans="6:13">
      <c r="F892" s="33"/>
      <c r="G892" s="33"/>
      <c r="M892" s="33"/>
    </row>
    <row r="893" spans="6:13">
      <c r="F893" s="33"/>
      <c r="G893" s="33"/>
      <c r="M893" s="33"/>
    </row>
    <row r="894" spans="6:13">
      <c r="F894" s="33"/>
      <c r="G894" s="33"/>
      <c r="M894" s="33"/>
    </row>
    <row r="895" spans="6:13">
      <c r="F895" s="33"/>
      <c r="G895" s="33"/>
      <c r="M895" s="33"/>
    </row>
    <row r="896" spans="6:13">
      <c r="F896" s="33"/>
      <c r="G896" s="33"/>
      <c r="M896" s="33"/>
    </row>
    <row r="897" spans="6:13">
      <c r="F897" s="33"/>
      <c r="G897" s="33"/>
      <c r="M897" s="33"/>
    </row>
    <row r="898" spans="6:13">
      <c r="F898" s="33"/>
      <c r="G898" s="33"/>
      <c r="M898" s="33"/>
    </row>
    <row r="899" spans="6:13">
      <c r="F899" s="33"/>
      <c r="G899" s="33"/>
      <c r="M899" s="33"/>
    </row>
    <row r="900" spans="6:13">
      <c r="F900" s="33"/>
      <c r="G900" s="33"/>
      <c r="M900" s="33"/>
    </row>
    <row r="901" spans="6:13">
      <c r="F901" s="33"/>
      <c r="G901" s="33"/>
      <c r="M901" s="33"/>
    </row>
    <row r="902" spans="6:13">
      <c r="F902" s="33"/>
      <c r="G902" s="33"/>
      <c r="M902" s="33"/>
    </row>
    <row r="903" spans="6:13">
      <c r="F903" s="33"/>
      <c r="G903" s="33"/>
      <c r="M903" s="33"/>
    </row>
    <row r="904" spans="6:13">
      <c r="F904" s="33"/>
      <c r="G904" s="33"/>
      <c r="M904" s="33"/>
    </row>
    <row r="905" spans="6:13">
      <c r="F905" s="33"/>
      <c r="G905" s="33"/>
      <c r="M905" s="33"/>
    </row>
    <row r="906" spans="6:13">
      <c r="F906" s="33"/>
      <c r="G906" s="33"/>
      <c r="M906" s="33"/>
    </row>
    <row r="907" spans="6:13">
      <c r="F907" s="33"/>
      <c r="G907" s="33"/>
      <c r="M907" s="33"/>
    </row>
    <row r="908" spans="6:13">
      <c r="F908" s="33"/>
      <c r="G908" s="33"/>
      <c r="M908" s="33"/>
    </row>
    <row r="909" spans="6:13">
      <c r="F909" s="33"/>
      <c r="G909" s="33"/>
      <c r="M909" s="33"/>
    </row>
    <row r="910" spans="6:13">
      <c r="F910" s="33"/>
      <c r="G910" s="33"/>
      <c r="M910" s="33"/>
    </row>
    <row r="911" spans="6:13">
      <c r="F911" s="33"/>
      <c r="G911" s="33"/>
      <c r="M911" s="33"/>
    </row>
    <row r="912" spans="6:13">
      <c r="F912" s="33"/>
      <c r="G912" s="33"/>
      <c r="M912" s="33"/>
    </row>
    <row r="913" spans="6:13">
      <c r="F913" s="33"/>
      <c r="G913" s="33"/>
      <c r="M913" s="33"/>
    </row>
    <row r="914" spans="6:13">
      <c r="F914" s="33"/>
      <c r="G914" s="33"/>
      <c r="M914" s="33"/>
    </row>
    <row r="915" spans="6:13">
      <c r="F915" s="33"/>
      <c r="G915" s="33"/>
      <c r="M915" s="33"/>
    </row>
    <row r="916" spans="6:13">
      <c r="F916" s="33"/>
      <c r="G916" s="33"/>
      <c r="M916" s="33"/>
    </row>
    <row r="917" spans="6:13">
      <c r="F917" s="33"/>
      <c r="G917" s="33"/>
      <c r="M917" s="33"/>
    </row>
    <row r="918" spans="6:13">
      <c r="F918" s="33"/>
      <c r="G918" s="33"/>
      <c r="M918" s="33"/>
    </row>
    <row r="919" spans="6:13">
      <c r="F919" s="33"/>
      <c r="G919" s="33"/>
      <c r="M919" s="33"/>
    </row>
    <row r="920" spans="6:13">
      <c r="F920" s="33"/>
      <c r="G920" s="33"/>
      <c r="M920" s="33"/>
    </row>
    <row r="921" spans="6:13">
      <c r="F921" s="33"/>
      <c r="G921" s="33"/>
      <c r="M921" s="33"/>
    </row>
    <row r="922" spans="6:13">
      <c r="F922" s="33"/>
      <c r="G922" s="33"/>
      <c r="M922" s="33"/>
    </row>
    <row r="923" spans="6:13">
      <c r="F923" s="33"/>
      <c r="G923" s="33"/>
      <c r="M923" s="33"/>
    </row>
    <row r="924" spans="6:13">
      <c r="F924" s="33"/>
      <c r="G924" s="33"/>
      <c r="M924" s="33"/>
    </row>
    <row r="925" spans="6:13">
      <c r="F925" s="33"/>
      <c r="G925" s="33"/>
      <c r="M925" s="33"/>
    </row>
    <row r="926" spans="6:13">
      <c r="F926" s="33"/>
      <c r="G926" s="33"/>
      <c r="M926" s="33"/>
    </row>
    <row r="927" spans="6:13">
      <c r="F927" s="33"/>
      <c r="G927" s="33"/>
      <c r="M927" s="33"/>
    </row>
    <row r="928" spans="6:13">
      <c r="F928" s="33"/>
      <c r="G928" s="33"/>
      <c r="M928" s="33"/>
    </row>
    <row r="929" spans="6:13">
      <c r="F929" s="33"/>
      <c r="G929" s="33"/>
      <c r="M929" s="33"/>
    </row>
    <row r="930" spans="6:13">
      <c r="F930" s="33"/>
      <c r="G930" s="33"/>
      <c r="M930" s="33"/>
    </row>
    <row r="931" spans="6:13">
      <c r="F931" s="33"/>
      <c r="G931" s="33"/>
      <c r="M931" s="33"/>
    </row>
    <row r="932" spans="6:13">
      <c r="F932" s="33"/>
      <c r="G932" s="33"/>
      <c r="M932" s="33"/>
    </row>
    <row r="933" spans="6:13">
      <c r="F933" s="33"/>
      <c r="G933" s="33"/>
      <c r="M933" s="33"/>
    </row>
    <row r="934" spans="6:13">
      <c r="F934" s="33"/>
      <c r="G934" s="33"/>
      <c r="M934" s="33"/>
    </row>
    <row r="935" spans="6:13">
      <c r="F935" s="33"/>
      <c r="G935" s="33"/>
      <c r="M935" s="33"/>
    </row>
    <row r="936" spans="6:13">
      <c r="F936" s="33"/>
      <c r="G936" s="33"/>
      <c r="M936" s="33"/>
    </row>
    <row r="937" spans="6:13">
      <c r="F937" s="33"/>
      <c r="G937" s="33"/>
      <c r="M937" s="33"/>
    </row>
    <row r="938" spans="6:13">
      <c r="F938" s="33"/>
      <c r="G938" s="33"/>
      <c r="M938" s="33"/>
    </row>
    <row r="939" spans="6:13">
      <c r="F939" s="33"/>
      <c r="G939" s="33"/>
      <c r="M939" s="33"/>
    </row>
    <row r="940" spans="6:13">
      <c r="F940" s="33"/>
      <c r="G940" s="33"/>
      <c r="M940" s="33"/>
    </row>
    <row r="941" spans="6:13">
      <c r="F941" s="33"/>
      <c r="G941" s="33"/>
      <c r="M941" s="33"/>
    </row>
    <row r="942" spans="6:13">
      <c r="F942" s="33"/>
      <c r="G942" s="33"/>
      <c r="M942" s="33"/>
    </row>
    <row r="943" spans="6:13">
      <c r="F943" s="33"/>
      <c r="G943" s="33"/>
      <c r="M943" s="33"/>
    </row>
    <row r="944" spans="6:13">
      <c r="F944" s="33"/>
      <c r="G944" s="33"/>
      <c r="M944" s="33"/>
    </row>
    <row r="945" spans="6:13">
      <c r="F945" s="33"/>
      <c r="G945" s="33"/>
      <c r="M945" s="33"/>
    </row>
    <row r="946" spans="6:13">
      <c r="F946" s="33"/>
      <c r="G946" s="33"/>
      <c r="M946" s="33"/>
    </row>
    <row r="947" spans="6:13">
      <c r="F947" s="33"/>
      <c r="G947" s="33"/>
      <c r="M947" s="33"/>
    </row>
    <row r="948" spans="6:13">
      <c r="F948" s="33"/>
      <c r="G948" s="33"/>
      <c r="M948" s="33"/>
    </row>
    <row r="949" spans="6:13">
      <c r="F949" s="33"/>
      <c r="G949" s="33"/>
      <c r="M949" s="33"/>
    </row>
    <row r="950" spans="6:13">
      <c r="F950" s="33"/>
      <c r="G950" s="33"/>
      <c r="M950" s="33"/>
    </row>
    <row r="951" spans="6:13">
      <c r="F951" s="33"/>
      <c r="G951" s="33"/>
      <c r="M951" s="33"/>
    </row>
    <row r="952" spans="6:13">
      <c r="F952" s="33"/>
      <c r="G952" s="33"/>
      <c r="M952" s="33"/>
    </row>
    <row r="953" spans="6:13">
      <c r="F953" s="33"/>
      <c r="G953" s="33"/>
      <c r="M953" s="33"/>
    </row>
    <row r="954" spans="6:13">
      <c r="F954" s="33"/>
      <c r="G954" s="33"/>
      <c r="M954" s="33"/>
    </row>
    <row r="955" spans="6:13">
      <c r="F955" s="33"/>
      <c r="G955" s="33"/>
      <c r="M955" s="33"/>
    </row>
    <row r="956" spans="6:13">
      <c r="F956" s="33"/>
      <c r="G956" s="33"/>
      <c r="M956" s="33"/>
    </row>
    <row r="957" spans="6:13">
      <c r="F957" s="33"/>
      <c r="G957" s="33"/>
      <c r="M957" s="33"/>
    </row>
    <row r="958" spans="6:13">
      <c r="F958" s="33"/>
      <c r="G958" s="33"/>
      <c r="M958" s="33"/>
    </row>
    <row r="959" spans="6:13">
      <c r="F959" s="33"/>
      <c r="G959" s="33"/>
      <c r="M959" s="33"/>
    </row>
    <row r="960" spans="6:13">
      <c r="F960" s="33"/>
      <c r="G960" s="33"/>
      <c r="M960" s="33"/>
    </row>
    <row r="961" spans="6:13">
      <c r="F961" s="33"/>
      <c r="G961" s="33"/>
      <c r="M961" s="33"/>
    </row>
    <row r="962" spans="6:13">
      <c r="F962" s="33"/>
      <c r="G962" s="33"/>
      <c r="M962" s="33"/>
    </row>
    <row r="963" spans="6:13">
      <c r="F963" s="33"/>
      <c r="G963" s="33"/>
      <c r="M963" s="33"/>
    </row>
    <row r="964" spans="6:13">
      <c r="F964" s="33"/>
      <c r="G964" s="33"/>
      <c r="M964" s="33"/>
    </row>
    <row r="965" spans="6:13">
      <c r="F965" s="33"/>
      <c r="G965" s="33"/>
      <c r="M965" s="33"/>
    </row>
    <row r="966" spans="6:13">
      <c r="F966" s="33"/>
      <c r="G966" s="33"/>
      <c r="M966" s="33"/>
    </row>
    <row r="967" spans="6:13">
      <c r="F967" s="33"/>
      <c r="G967" s="33"/>
      <c r="M967" s="33"/>
    </row>
    <row r="968" spans="6:13">
      <c r="F968" s="33"/>
      <c r="G968" s="33"/>
      <c r="M968" s="33"/>
    </row>
    <row r="969" spans="6:13">
      <c r="F969" s="33"/>
      <c r="G969" s="33"/>
      <c r="M969" s="33"/>
    </row>
    <row r="970" spans="6:13">
      <c r="F970" s="33"/>
      <c r="G970" s="33"/>
      <c r="M970" s="33"/>
    </row>
    <row r="971" spans="6:13">
      <c r="F971" s="33"/>
      <c r="G971" s="33"/>
      <c r="M971" s="33"/>
    </row>
    <row r="972" spans="6:13">
      <c r="F972" s="33"/>
      <c r="G972" s="33"/>
      <c r="M972" s="33"/>
    </row>
    <row r="973" spans="6:13">
      <c r="F973" s="33"/>
      <c r="G973" s="33"/>
      <c r="M973" s="33"/>
    </row>
    <row r="974" spans="6:13">
      <c r="F974" s="33"/>
      <c r="G974" s="33"/>
      <c r="M974" s="33"/>
    </row>
    <row r="975" spans="6:13">
      <c r="F975" s="33"/>
      <c r="G975" s="33"/>
      <c r="M975" s="33"/>
    </row>
    <row r="976" spans="6:13">
      <c r="F976" s="33"/>
      <c r="G976" s="33"/>
      <c r="M976" s="33"/>
    </row>
    <row r="977" spans="6:13">
      <c r="F977" s="33"/>
      <c r="G977" s="33"/>
      <c r="M977" s="33"/>
    </row>
    <row r="978" spans="6:13">
      <c r="F978" s="33"/>
      <c r="G978" s="33"/>
      <c r="M978" s="33"/>
    </row>
    <row r="979" spans="6:13">
      <c r="F979" s="33"/>
      <c r="G979" s="33"/>
      <c r="M979" s="33"/>
    </row>
    <row r="980" spans="6:13">
      <c r="F980" s="33"/>
      <c r="G980" s="33"/>
      <c r="M980" s="33"/>
    </row>
    <row r="981" spans="6:13">
      <c r="F981" s="33"/>
      <c r="G981" s="33"/>
      <c r="M981" s="33"/>
    </row>
    <row r="982" spans="6:13">
      <c r="F982" s="33"/>
      <c r="G982" s="33"/>
      <c r="M982" s="33"/>
    </row>
    <row r="983" spans="6:13">
      <c r="F983" s="33"/>
      <c r="G983" s="33"/>
      <c r="M983" s="33"/>
    </row>
    <row r="984" spans="6:13">
      <c r="F984" s="33"/>
      <c r="G984" s="33"/>
      <c r="M984" s="33"/>
    </row>
    <row r="985" spans="6:13">
      <c r="F985" s="33"/>
      <c r="G985" s="33"/>
      <c r="M985" s="33"/>
    </row>
    <row r="986" spans="6:13">
      <c r="F986" s="33"/>
      <c r="G986" s="33"/>
      <c r="M986" s="33"/>
    </row>
    <row r="987" spans="6:13">
      <c r="F987" s="33"/>
      <c r="G987" s="33"/>
      <c r="M987" s="33"/>
    </row>
    <row r="988" spans="6:13">
      <c r="F988" s="33"/>
      <c r="G988" s="33"/>
      <c r="M988" s="33"/>
    </row>
    <row r="989" spans="6:13">
      <c r="F989" s="33"/>
      <c r="G989" s="33"/>
      <c r="M989" s="33"/>
    </row>
    <row r="990" spans="6:13">
      <c r="F990" s="33"/>
      <c r="G990" s="33"/>
      <c r="M990" s="33"/>
    </row>
    <row r="991" spans="6:13">
      <c r="F991" s="33"/>
      <c r="G991" s="33"/>
      <c r="M991" s="33"/>
    </row>
    <row r="992" spans="6:13">
      <c r="F992" s="33"/>
      <c r="G992" s="33"/>
      <c r="M992" s="33"/>
    </row>
    <row r="993" spans="6:13">
      <c r="F993" s="33"/>
      <c r="G993" s="33"/>
      <c r="M993" s="33"/>
    </row>
    <row r="994" spans="6:13">
      <c r="F994" s="33"/>
      <c r="G994" s="33"/>
      <c r="M994" s="33"/>
    </row>
    <row r="995" spans="6:13">
      <c r="F995" s="33"/>
      <c r="G995" s="33"/>
      <c r="M995" s="33"/>
    </row>
    <row r="996" spans="6:13">
      <c r="F996" s="33"/>
      <c r="G996" s="33"/>
      <c r="M996" s="33"/>
    </row>
    <row r="997" spans="6:13">
      <c r="F997" s="33"/>
      <c r="G997" s="33"/>
      <c r="M997" s="33"/>
    </row>
    <row r="998" spans="6:13">
      <c r="F998" s="33"/>
      <c r="G998" s="33"/>
      <c r="M998" s="33"/>
    </row>
    <row r="999" spans="6:13">
      <c r="F999" s="33"/>
      <c r="G999" s="33"/>
      <c r="M999" s="33"/>
    </row>
    <row r="1000" spans="6:13">
      <c r="F1000" s="33"/>
      <c r="G1000" s="33"/>
      <c r="M1000" s="33"/>
    </row>
    <row r="1001" spans="6:13">
      <c r="F1001" s="33"/>
      <c r="G1001" s="33"/>
      <c r="M1001" s="33"/>
    </row>
    <row r="1002" spans="6:13">
      <c r="F1002" s="33"/>
      <c r="G1002" s="33"/>
      <c r="M1002" s="33"/>
    </row>
    <row r="1003" spans="6:13">
      <c r="F1003" s="33"/>
      <c r="G1003" s="33"/>
      <c r="M1003" s="33"/>
    </row>
    <row r="1004" spans="6:13">
      <c r="F1004" s="33"/>
      <c r="G1004" s="33"/>
      <c r="M1004" s="33"/>
    </row>
    <row r="1005" spans="6:13">
      <c r="F1005" s="33"/>
      <c r="G1005" s="33"/>
      <c r="M1005" s="33"/>
    </row>
    <row r="1006" spans="6:13">
      <c r="F1006" s="33"/>
      <c r="G1006" s="33"/>
      <c r="M1006" s="33"/>
    </row>
    <row r="1007" spans="6:13">
      <c r="F1007" s="33"/>
      <c r="G1007" s="33"/>
      <c r="M1007" s="33"/>
    </row>
    <row r="1008" spans="6:13">
      <c r="F1008" s="33"/>
      <c r="G1008" s="33"/>
      <c r="M1008" s="33"/>
    </row>
    <row r="1009" spans="6:13">
      <c r="F1009" s="33"/>
      <c r="G1009" s="33"/>
      <c r="M1009" s="33"/>
    </row>
    <row r="1010" spans="6:13">
      <c r="F1010" s="33"/>
      <c r="G1010" s="33"/>
      <c r="M1010" s="33"/>
    </row>
    <row r="1011" spans="6:13">
      <c r="F1011" s="33"/>
      <c r="G1011" s="33"/>
      <c r="M1011" s="33"/>
    </row>
    <row r="1012" spans="6:13">
      <c r="F1012" s="33"/>
      <c r="G1012" s="33"/>
      <c r="M1012" s="33"/>
    </row>
    <row r="1013" spans="6:13">
      <c r="F1013" s="33"/>
      <c r="G1013" s="33"/>
      <c r="M1013" s="33"/>
    </row>
    <row r="1014" spans="6:13">
      <c r="F1014" s="33"/>
      <c r="G1014" s="33"/>
      <c r="M1014" s="33"/>
    </row>
    <row r="1015" spans="6:13">
      <c r="F1015" s="33"/>
      <c r="G1015" s="33"/>
      <c r="M1015" s="33"/>
    </row>
    <row r="1016" spans="6:13">
      <c r="F1016" s="33"/>
      <c r="G1016" s="33"/>
      <c r="M1016" s="33"/>
    </row>
    <row r="1017" spans="6:13">
      <c r="F1017" s="33"/>
      <c r="G1017" s="33"/>
      <c r="M1017" s="33"/>
    </row>
    <row r="1018" spans="6:13">
      <c r="F1018" s="33"/>
      <c r="G1018" s="33"/>
      <c r="M1018" s="33"/>
    </row>
    <row r="1019" spans="6:13">
      <c r="F1019" s="33"/>
      <c r="G1019" s="33"/>
      <c r="M1019" s="33"/>
    </row>
    <row r="1020" spans="6:13">
      <c r="F1020" s="33"/>
      <c r="G1020" s="33"/>
      <c r="M1020" s="33"/>
    </row>
    <row r="1021" spans="6:13">
      <c r="F1021" s="33"/>
      <c r="G1021" s="33"/>
      <c r="M1021" s="33"/>
    </row>
    <row r="1022" spans="6:13">
      <c r="F1022" s="33"/>
      <c r="G1022" s="33"/>
      <c r="M1022" s="33"/>
    </row>
    <row r="1023" spans="6:13">
      <c r="F1023" s="33"/>
      <c r="G1023" s="33"/>
      <c r="M1023" s="33"/>
    </row>
    <row r="1024" spans="6:13">
      <c r="F1024" s="33"/>
      <c r="G1024" s="33"/>
      <c r="M1024" s="33"/>
    </row>
    <row r="1025" spans="6:13">
      <c r="F1025" s="33"/>
      <c r="G1025" s="33"/>
      <c r="M1025" s="33"/>
    </row>
    <row r="1026" spans="6:13">
      <c r="F1026" s="33"/>
      <c r="G1026" s="33"/>
      <c r="M1026" s="33"/>
    </row>
    <row r="1027" spans="6:13">
      <c r="F1027" s="33"/>
      <c r="G1027" s="33"/>
      <c r="M1027" s="33"/>
    </row>
    <row r="1028" spans="6:13">
      <c r="F1028" s="33"/>
      <c r="G1028" s="33"/>
      <c r="M1028" s="33"/>
    </row>
    <row r="1029" spans="6:13">
      <c r="F1029" s="33"/>
      <c r="G1029" s="33"/>
      <c r="M1029" s="33"/>
    </row>
    <row r="1030" spans="6:13">
      <c r="F1030" s="33"/>
      <c r="G1030" s="33"/>
      <c r="M1030" s="33"/>
    </row>
    <row r="1031" spans="6:13">
      <c r="F1031" s="33"/>
      <c r="G1031" s="33"/>
      <c r="M1031" s="33"/>
    </row>
    <row r="1032" spans="6:13">
      <c r="F1032" s="33"/>
      <c r="G1032" s="33"/>
      <c r="M1032" s="33"/>
    </row>
    <row r="1033" spans="6:13">
      <c r="F1033" s="33"/>
      <c r="G1033" s="33"/>
      <c r="M1033" s="33"/>
    </row>
    <row r="1034" spans="6:13">
      <c r="F1034" s="33"/>
      <c r="G1034" s="33"/>
      <c r="M1034" s="33"/>
    </row>
    <row r="1035" spans="6:13">
      <c r="F1035" s="33"/>
      <c r="G1035" s="33"/>
      <c r="M1035" s="33"/>
    </row>
    <row r="1036" spans="6:13">
      <c r="F1036" s="33"/>
      <c r="G1036" s="33"/>
      <c r="M1036" s="33"/>
    </row>
    <row r="1037" spans="6:13">
      <c r="F1037" s="33"/>
      <c r="G1037" s="33"/>
      <c r="M1037" s="33"/>
    </row>
    <row r="1038" spans="6:13">
      <c r="F1038" s="33"/>
      <c r="G1038" s="33"/>
      <c r="M1038" s="33"/>
    </row>
    <row r="1039" spans="6:13">
      <c r="F1039" s="33"/>
      <c r="G1039" s="33"/>
      <c r="M1039" s="33"/>
    </row>
    <row r="1040" spans="6:13">
      <c r="F1040" s="33"/>
      <c r="G1040" s="33"/>
      <c r="M1040" s="33"/>
    </row>
    <row r="1041" spans="6:13">
      <c r="F1041" s="33"/>
      <c r="G1041" s="33"/>
      <c r="M1041" s="33"/>
    </row>
    <row r="1042" spans="6:13">
      <c r="F1042" s="33"/>
      <c r="G1042" s="33"/>
      <c r="M1042" s="33"/>
    </row>
    <row r="1043" spans="6:13">
      <c r="F1043" s="33"/>
      <c r="G1043" s="33"/>
      <c r="M1043" s="33"/>
    </row>
    <row r="1044" spans="6:13">
      <c r="F1044" s="33"/>
      <c r="G1044" s="33"/>
      <c r="M1044" s="33"/>
    </row>
    <row r="1045" spans="6:13">
      <c r="F1045" s="33"/>
      <c r="G1045" s="33"/>
      <c r="M1045" s="33"/>
    </row>
    <row r="1046" spans="6:13">
      <c r="F1046" s="33"/>
      <c r="G1046" s="33"/>
      <c r="M1046" s="33"/>
    </row>
    <row r="1047" spans="6:13">
      <c r="F1047" s="33"/>
      <c r="G1047" s="33"/>
      <c r="M1047" s="33"/>
    </row>
    <row r="1048" spans="6:13">
      <c r="F1048" s="33"/>
      <c r="G1048" s="33"/>
      <c r="M1048" s="33"/>
    </row>
    <row r="1049" spans="6:13">
      <c r="F1049" s="33"/>
      <c r="G1049" s="33"/>
      <c r="M1049" s="33"/>
    </row>
    <row r="1050" spans="6:13">
      <c r="F1050" s="33"/>
      <c r="G1050" s="33"/>
      <c r="M1050" s="33"/>
    </row>
    <row r="1051" spans="6:13">
      <c r="F1051" s="33"/>
      <c r="G1051" s="33"/>
      <c r="M1051" s="33"/>
    </row>
    <row r="1052" spans="6:13">
      <c r="F1052" s="33"/>
      <c r="G1052" s="33"/>
      <c r="M1052" s="33"/>
    </row>
    <row r="1053" spans="6:13">
      <c r="F1053" s="33"/>
      <c r="G1053" s="33"/>
      <c r="M1053" s="33"/>
    </row>
    <row r="1054" spans="6:13">
      <c r="F1054" s="33"/>
      <c r="G1054" s="33"/>
      <c r="M1054" s="33"/>
    </row>
    <row r="1055" spans="6:13">
      <c r="F1055" s="33"/>
      <c r="G1055" s="33"/>
      <c r="M1055" s="33"/>
    </row>
    <row r="1056" spans="6:13">
      <c r="F1056" s="33"/>
      <c r="G1056" s="33"/>
      <c r="M1056" s="33"/>
    </row>
    <row r="1057" spans="6:13">
      <c r="F1057" s="33"/>
      <c r="G1057" s="33"/>
      <c r="M1057" s="33"/>
    </row>
    <row r="1058" spans="6:13">
      <c r="F1058" s="33"/>
      <c r="G1058" s="33"/>
      <c r="M1058" s="33"/>
    </row>
    <row r="1059" spans="6:13">
      <c r="F1059" s="33"/>
      <c r="G1059" s="33"/>
      <c r="M1059" s="33"/>
    </row>
    <row r="1060" spans="6:13">
      <c r="F1060" s="33"/>
      <c r="G1060" s="33"/>
      <c r="M1060" s="33"/>
    </row>
    <row r="1061" spans="6:13">
      <c r="F1061" s="33"/>
      <c r="G1061" s="33"/>
      <c r="M1061" s="33"/>
    </row>
    <row r="1062" spans="6:13">
      <c r="F1062" s="33"/>
      <c r="G1062" s="33"/>
      <c r="M1062" s="33"/>
    </row>
    <row r="1063" spans="6:13">
      <c r="F1063" s="33"/>
      <c r="G1063" s="33"/>
      <c r="M1063" s="33"/>
    </row>
    <row r="1064" spans="6:13">
      <c r="F1064" s="33"/>
      <c r="G1064" s="33"/>
      <c r="M1064" s="33"/>
    </row>
    <row r="1065" spans="6:13">
      <c r="F1065" s="33"/>
      <c r="G1065" s="33"/>
      <c r="M1065" s="33"/>
    </row>
    <row r="1066" spans="6:13">
      <c r="F1066" s="33"/>
      <c r="G1066" s="33"/>
      <c r="M1066" s="33"/>
    </row>
    <row r="1067" spans="6:13">
      <c r="F1067" s="33"/>
      <c r="G1067" s="33"/>
      <c r="M1067" s="33"/>
    </row>
    <row r="1068" spans="6:13">
      <c r="F1068" s="33"/>
      <c r="G1068" s="33"/>
      <c r="M1068" s="33"/>
    </row>
    <row r="1069" spans="6:13">
      <c r="F1069" s="33"/>
      <c r="G1069" s="33"/>
      <c r="M1069" s="33"/>
    </row>
    <row r="1070" spans="6:13">
      <c r="F1070" s="33"/>
      <c r="G1070" s="33"/>
      <c r="M1070" s="33"/>
    </row>
    <row r="1071" spans="6:13">
      <c r="F1071" s="33"/>
      <c r="G1071" s="33"/>
      <c r="M1071" s="33"/>
    </row>
    <row r="1072" spans="6:13">
      <c r="F1072" s="33"/>
      <c r="G1072" s="33"/>
      <c r="M1072" s="33"/>
    </row>
    <row r="1073" spans="6:13">
      <c r="F1073" s="33"/>
      <c r="G1073" s="33"/>
      <c r="M1073" s="33"/>
    </row>
    <row r="1074" spans="6:13">
      <c r="F1074" s="33"/>
      <c r="G1074" s="33"/>
      <c r="M1074" s="33"/>
    </row>
    <row r="1075" spans="6:13">
      <c r="F1075" s="33"/>
      <c r="G1075" s="33"/>
      <c r="M1075" s="33"/>
    </row>
    <row r="1076" spans="6:13">
      <c r="F1076" s="33"/>
      <c r="G1076" s="33"/>
      <c r="M1076" s="33"/>
    </row>
    <row r="1077" spans="6:13">
      <c r="F1077" s="33"/>
      <c r="G1077" s="33"/>
      <c r="M1077" s="33"/>
    </row>
    <row r="1078" spans="6:13">
      <c r="F1078" s="33"/>
      <c r="G1078" s="33"/>
      <c r="M1078" s="33"/>
    </row>
    <row r="1079" spans="6:13">
      <c r="F1079" s="33"/>
      <c r="G1079" s="33"/>
      <c r="M1079" s="33"/>
    </row>
    <row r="1080" spans="6:13">
      <c r="F1080" s="33"/>
      <c r="G1080" s="33"/>
      <c r="M1080" s="33"/>
    </row>
    <row r="1081" spans="6:13">
      <c r="F1081" s="33"/>
      <c r="G1081" s="33"/>
      <c r="M1081" s="33"/>
    </row>
    <row r="1082" spans="6:13">
      <c r="F1082" s="33"/>
      <c r="G1082" s="33"/>
      <c r="M1082" s="33"/>
    </row>
    <row r="1083" spans="6:13">
      <c r="F1083" s="33"/>
      <c r="G1083" s="33"/>
      <c r="M1083" s="33"/>
    </row>
    <row r="1084" spans="6:13">
      <c r="F1084" s="33"/>
      <c r="G1084" s="33"/>
      <c r="M1084" s="33"/>
    </row>
    <row r="1085" spans="6:13">
      <c r="F1085" s="33"/>
      <c r="G1085" s="33"/>
      <c r="M1085" s="33"/>
    </row>
    <row r="1086" spans="6:13">
      <c r="F1086" s="33"/>
      <c r="G1086" s="33"/>
      <c r="M1086" s="33"/>
    </row>
    <row r="1087" spans="6:13">
      <c r="F1087" s="33"/>
      <c r="G1087" s="33"/>
      <c r="M1087" s="33"/>
    </row>
    <row r="1088" spans="6:13">
      <c r="F1088" s="33"/>
      <c r="G1088" s="33"/>
      <c r="M1088" s="33"/>
    </row>
    <row r="1089" spans="6:13">
      <c r="F1089" s="33"/>
      <c r="G1089" s="33"/>
      <c r="M1089" s="33"/>
    </row>
    <row r="1090" spans="6:13">
      <c r="F1090" s="33"/>
      <c r="G1090" s="33"/>
      <c r="M1090" s="33"/>
    </row>
    <row r="1091" spans="6:13">
      <c r="F1091" s="33"/>
      <c r="G1091" s="33"/>
      <c r="M1091" s="33"/>
    </row>
    <row r="1092" spans="6:13">
      <c r="F1092" s="33"/>
      <c r="G1092" s="33"/>
      <c r="M1092" s="33"/>
    </row>
    <row r="1093" spans="6:13">
      <c r="F1093" s="33"/>
      <c r="G1093" s="33"/>
      <c r="M1093" s="33"/>
    </row>
    <row r="1094" spans="6:13">
      <c r="F1094" s="33"/>
      <c r="G1094" s="33"/>
      <c r="M1094" s="33"/>
    </row>
    <row r="1095" spans="6:13">
      <c r="F1095" s="33"/>
      <c r="G1095" s="33"/>
      <c r="M1095" s="33"/>
    </row>
    <row r="1096" spans="6:13">
      <c r="F1096" s="33"/>
      <c r="G1096" s="33"/>
      <c r="M1096" s="33"/>
    </row>
    <row r="1097" spans="6:13">
      <c r="F1097" s="33"/>
      <c r="G1097" s="33"/>
      <c r="M1097" s="33"/>
    </row>
    <row r="1098" spans="6:13">
      <c r="F1098" s="33"/>
      <c r="G1098" s="33"/>
      <c r="M1098" s="33"/>
    </row>
    <row r="1099" spans="6:13">
      <c r="F1099" s="33"/>
      <c r="G1099" s="33"/>
      <c r="M1099" s="33"/>
    </row>
    <row r="1100" spans="6:13">
      <c r="F1100" s="33"/>
      <c r="G1100" s="33"/>
      <c r="M1100" s="33"/>
    </row>
    <row r="1101" spans="6:13">
      <c r="F1101" s="33"/>
      <c r="G1101" s="33"/>
      <c r="M1101" s="33"/>
    </row>
    <row r="1102" spans="6:13">
      <c r="F1102" s="33"/>
      <c r="G1102" s="33"/>
      <c r="M1102" s="33"/>
    </row>
    <row r="1103" spans="6:13">
      <c r="F1103" s="33"/>
      <c r="G1103" s="33"/>
      <c r="M1103" s="33"/>
    </row>
    <row r="1104" spans="6:13">
      <c r="F1104" s="33"/>
      <c r="G1104" s="33"/>
      <c r="M1104" s="33"/>
    </row>
    <row r="1105" spans="6:13">
      <c r="F1105" s="33"/>
      <c r="G1105" s="33"/>
      <c r="M1105" s="33"/>
    </row>
    <row r="1106" spans="6:13">
      <c r="F1106" s="33"/>
      <c r="G1106" s="33"/>
      <c r="M1106" s="33"/>
    </row>
    <row r="1107" spans="6:13">
      <c r="F1107" s="33"/>
      <c r="G1107" s="33"/>
      <c r="M1107" s="33"/>
    </row>
    <row r="1108" spans="6:13">
      <c r="F1108" s="33"/>
      <c r="G1108" s="33"/>
      <c r="M1108" s="33"/>
    </row>
    <row r="1109" spans="6:13">
      <c r="F1109" s="33"/>
      <c r="G1109" s="33"/>
      <c r="M1109" s="33"/>
    </row>
    <row r="1110" spans="6:13">
      <c r="F1110" s="33"/>
      <c r="G1110" s="33"/>
      <c r="M1110" s="33"/>
    </row>
    <row r="1111" spans="6:13">
      <c r="F1111" s="33"/>
      <c r="G1111" s="33"/>
      <c r="M1111" s="33"/>
    </row>
    <row r="1112" spans="6:13">
      <c r="F1112" s="33"/>
      <c r="G1112" s="33"/>
      <c r="M1112" s="33"/>
    </row>
    <row r="1113" spans="6:13">
      <c r="F1113" s="33"/>
      <c r="G1113" s="33"/>
      <c r="M1113" s="33"/>
    </row>
    <row r="1114" spans="6:13">
      <c r="F1114" s="33"/>
      <c r="G1114" s="33"/>
      <c r="M1114" s="33"/>
    </row>
    <row r="1115" spans="6:13">
      <c r="F1115" s="33"/>
      <c r="G1115" s="33"/>
      <c r="M1115" s="33"/>
    </row>
    <row r="1116" spans="6:13">
      <c r="F1116" s="33"/>
      <c r="G1116" s="33"/>
      <c r="M1116" s="33"/>
    </row>
    <row r="1117" spans="6:13">
      <c r="F1117" s="33"/>
      <c r="G1117" s="33"/>
      <c r="M1117" s="33"/>
    </row>
    <row r="1118" spans="6:13">
      <c r="F1118" s="33"/>
      <c r="G1118" s="33"/>
      <c r="M1118" s="33"/>
    </row>
    <row r="1119" spans="6:13">
      <c r="F1119" s="33"/>
      <c r="G1119" s="33"/>
      <c r="M1119" s="33"/>
    </row>
    <row r="1120" spans="6:13">
      <c r="F1120" s="33"/>
      <c r="G1120" s="33"/>
      <c r="M1120" s="33"/>
    </row>
    <row r="1121" spans="6:13">
      <c r="F1121" s="33"/>
      <c r="G1121" s="33"/>
      <c r="M1121" s="33"/>
    </row>
    <row r="1122" spans="6:13">
      <c r="F1122" s="33"/>
      <c r="G1122" s="33"/>
      <c r="M1122" s="33"/>
    </row>
    <row r="1123" spans="6:13">
      <c r="F1123" s="33"/>
      <c r="G1123" s="33"/>
      <c r="M1123" s="33"/>
    </row>
    <row r="1124" spans="6:13">
      <c r="F1124" s="33"/>
      <c r="G1124" s="33"/>
      <c r="M1124" s="33"/>
    </row>
    <row r="1125" spans="6:13">
      <c r="F1125" s="33"/>
      <c r="G1125" s="33"/>
      <c r="M1125" s="33"/>
    </row>
    <row r="1126" spans="6:13">
      <c r="F1126" s="33"/>
      <c r="G1126" s="33"/>
      <c r="M1126" s="33"/>
    </row>
    <row r="1127" spans="6:13">
      <c r="F1127" s="33"/>
      <c r="G1127" s="33"/>
      <c r="M1127" s="33"/>
    </row>
    <row r="1128" spans="6:13">
      <c r="F1128" s="33"/>
      <c r="G1128" s="33"/>
      <c r="M1128" s="33"/>
    </row>
    <row r="1129" spans="6:13">
      <c r="F1129" s="33"/>
      <c r="G1129" s="33"/>
      <c r="M1129" s="33"/>
    </row>
    <row r="1130" spans="6:13">
      <c r="F1130" s="33"/>
      <c r="G1130" s="33"/>
      <c r="M1130" s="33"/>
    </row>
    <row r="1131" spans="6:13">
      <c r="F1131" s="33"/>
      <c r="G1131" s="33"/>
      <c r="M1131" s="33"/>
    </row>
    <row r="1132" spans="6:13">
      <c r="F1132" s="33"/>
      <c r="G1132" s="33"/>
      <c r="M1132" s="33"/>
    </row>
    <row r="1133" spans="6:13">
      <c r="F1133" s="33"/>
      <c r="G1133" s="33"/>
      <c r="M1133" s="33"/>
    </row>
    <row r="1134" spans="6:13">
      <c r="F1134" s="33"/>
      <c r="G1134" s="33"/>
      <c r="M1134" s="33"/>
    </row>
    <row r="1135" spans="6:13">
      <c r="F1135" s="33"/>
      <c r="G1135" s="33"/>
      <c r="M1135" s="33"/>
    </row>
    <row r="1136" spans="6:13">
      <c r="F1136" s="33"/>
      <c r="G1136" s="33"/>
      <c r="M1136" s="33"/>
    </row>
    <row r="1137" spans="6:13">
      <c r="F1137" s="33"/>
      <c r="G1137" s="33"/>
      <c r="M1137" s="33"/>
    </row>
    <row r="1138" spans="6:13">
      <c r="F1138" s="33"/>
      <c r="G1138" s="33"/>
      <c r="M1138" s="33"/>
    </row>
    <row r="1139" spans="6:13">
      <c r="F1139" s="33"/>
      <c r="G1139" s="33"/>
      <c r="M1139" s="33"/>
    </row>
    <row r="1140" spans="6:13">
      <c r="F1140" s="33"/>
      <c r="G1140" s="33"/>
      <c r="M1140" s="33"/>
    </row>
    <row r="1141" spans="6:13">
      <c r="F1141" s="33"/>
      <c r="G1141" s="33"/>
      <c r="M1141" s="33"/>
    </row>
    <row r="1142" spans="6:13">
      <c r="F1142" s="33"/>
      <c r="G1142" s="33"/>
      <c r="M1142" s="33"/>
    </row>
    <row r="1143" spans="6:13">
      <c r="F1143" s="33"/>
      <c r="G1143" s="33"/>
      <c r="M1143" s="33"/>
    </row>
    <row r="1144" spans="6:13">
      <c r="F1144" s="33"/>
      <c r="G1144" s="33"/>
      <c r="M1144" s="33"/>
    </row>
    <row r="1145" spans="6:13">
      <c r="F1145" s="33"/>
      <c r="G1145" s="33"/>
      <c r="M1145" s="33"/>
    </row>
    <row r="1146" spans="6:13">
      <c r="F1146" s="33"/>
      <c r="G1146" s="33"/>
      <c r="M1146" s="33"/>
    </row>
    <row r="1147" spans="6:13">
      <c r="F1147" s="33"/>
      <c r="G1147" s="33"/>
      <c r="M1147" s="33"/>
    </row>
    <row r="1148" spans="6:13">
      <c r="F1148" s="33"/>
      <c r="G1148" s="33"/>
      <c r="M1148" s="33"/>
    </row>
    <row r="1149" spans="6:13">
      <c r="F1149" s="33"/>
      <c r="G1149" s="33"/>
      <c r="M1149" s="33"/>
    </row>
    <row r="1150" spans="6:13">
      <c r="F1150" s="33"/>
      <c r="G1150" s="33"/>
      <c r="M1150" s="33"/>
    </row>
    <row r="1151" spans="6:13">
      <c r="F1151" s="33"/>
      <c r="G1151" s="33"/>
      <c r="M1151" s="33"/>
    </row>
    <row r="1152" spans="6:13">
      <c r="F1152" s="33"/>
      <c r="G1152" s="33"/>
      <c r="M1152" s="33"/>
    </row>
    <row r="1153" spans="6:13">
      <c r="F1153" s="33"/>
      <c r="G1153" s="33"/>
      <c r="M1153" s="33"/>
    </row>
    <row r="1154" spans="6:13">
      <c r="F1154" s="33"/>
      <c r="G1154" s="33"/>
      <c r="M1154" s="33"/>
    </row>
    <row r="1155" spans="6:13">
      <c r="F1155" s="33"/>
      <c r="G1155" s="33"/>
      <c r="M1155" s="33"/>
    </row>
    <row r="1156" spans="6:13">
      <c r="F1156" s="33"/>
      <c r="G1156" s="33"/>
      <c r="M1156" s="33"/>
    </row>
    <row r="1157" spans="6:13">
      <c r="F1157" s="33"/>
      <c r="G1157" s="33"/>
      <c r="M1157" s="33"/>
    </row>
    <row r="1158" spans="6:13">
      <c r="F1158" s="33"/>
      <c r="G1158" s="33"/>
      <c r="M1158" s="33"/>
    </row>
    <row r="1159" spans="6:13">
      <c r="F1159" s="33"/>
      <c r="G1159" s="33"/>
      <c r="M1159" s="33"/>
    </row>
    <row r="1160" spans="6:13">
      <c r="F1160" s="33"/>
      <c r="G1160" s="33"/>
      <c r="M1160" s="33"/>
    </row>
    <row r="1161" spans="6:13">
      <c r="F1161" s="33"/>
      <c r="G1161" s="33"/>
      <c r="M1161" s="33"/>
    </row>
    <row r="1162" spans="6:13">
      <c r="F1162" s="33"/>
      <c r="G1162" s="33"/>
      <c r="M1162" s="33"/>
    </row>
    <row r="1163" spans="6:13">
      <c r="F1163" s="33"/>
      <c r="G1163" s="33"/>
      <c r="M1163" s="33"/>
    </row>
    <row r="1164" spans="6:13">
      <c r="F1164" s="33"/>
      <c r="G1164" s="33"/>
      <c r="M1164" s="33"/>
    </row>
    <row r="1165" spans="6:13">
      <c r="F1165" s="33"/>
      <c r="G1165" s="33"/>
      <c r="M1165" s="33"/>
    </row>
    <row r="1166" spans="6:13">
      <c r="F1166" s="33"/>
      <c r="G1166" s="33"/>
      <c r="M1166" s="33"/>
    </row>
    <row r="1167" spans="6:13">
      <c r="F1167" s="33"/>
      <c r="G1167" s="33"/>
      <c r="M1167" s="33"/>
    </row>
    <row r="1168" spans="6:13">
      <c r="F1168" s="33"/>
      <c r="G1168" s="33"/>
      <c r="M1168" s="33"/>
    </row>
    <row r="1169" spans="6:13">
      <c r="F1169" s="33"/>
      <c r="G1169" s="33"/>
      <c r="M1169" s="33"/>
    </row>
    <row r="1170" spans="6:13">
      <c r="F1170" s="33"/>
      <c r="G1170" s="33"/>
      <c r="M1170" s="33"/>
    </row>
    <row r="1171" spans="6:13">
      <c r="F1171" s="33"/>
      <c r="G1171" s="33"/>
      <c r="M1171" s="33"/>
    </row>
    <row r="1172" spans="6:13">
      <c r="F1172" s="33"/>
      <c r="G1172" s="33"/>
      <c r="M1172" s="33"/>
    </row>
    <row r="1173" spans="6:13">
      <c r="F1173" s="33"/>
      <c r="G1173" s="33"/>
      <c r="M1173" s="33"/>
    </row>
    <row r="1174" spans="6:13">
      <c r="F1174" s="33"/>
      <c r="G1174" s="33"/>
      <c r="M1174" s="33"/>
    </row>
    <row r="1175" spans="6:13">
      <c r="F1175" s="33"/>
      <c r="G1175" s="33"/>
      <c r="M1175" s="33"/>
    </row>
    <row r="1176" spans="6:13">
      <c r="F1176" s="33"/>
      <c r="G1176" s="33"/>
      <c r="M1176" s="33"/>
    </row>
    <row r="1177" spans="6:13">
      <c r="F1177" s="33"/>
      <c r="G1177" s="33"/>
      <c r="M1177" s="33"/>
    </row>
    <row r="1178" spans="6:13">
      <c r="F1178" s="33"/>
      <c r="G1178" s="33"/>
      <c r="M1178" s="33"/>
    </row>
    <row r="1179" spans="6:13">
      <c r="F1179" s="33"/>
      <c r="G1179" s="33"/>
      <c r="M1179" s="33"/>
    </row>
    <row r="1180" spans="6:13">
      <c r="F1180" s="33"/>
      <c r="G1180" s="33"/>
      <c r="M1180" s="33"/>
    </row>
    <row r="1181" spans="6:13">
      <c r="F1181" s="33"/>
      <c r="G1181" s="33"/>
      <c r="M1181" s="33"/>
    </row>
    <row r="1182" spans="6:13">
      <c r="F1182" s="33"/>
      <c r="G1182" s="33"/>
      <c r="M1182" s="33"/>
    </row>
    <row r="1183" spans="6:13">
      <c r="F1183" s="33"/>
      <c r="G1183" s="33"/>
      <c r="M1183" s="33"/>
    </row>
    <row r="1184" spans="6:13">
      <c r="F1184" s="33"/>
      <c r="G1184" s="33"/>
      <c r="M1184" s="33"/>
    </row>
    <row r="1185" spans="6:13">
      <c r="F1185" s="33"/>
      <c r="G1185" s="33"/>
      <c r="M1185" s="33"/>
    </row>
    <row r="1186" spans="6:13">
      <c r="F1186" s="33"/>
      <c r="G1186" s="33"/>
      <c r="M1186" s="33"/>
    </row>
    <row r="1187" spans="6:13">
      <c r="F1187" s="33"/>
      <c r="G1187" s="33"/>
      <c r="M1187" s="33"/>
    </row>
    <row r="1188" spans="6:13">
      <c r="F1188" s="33"/>
      <c r="G1188" s="33"/>
      <c r="M1188" s="33"/>
    </row>
    <row r="1189" spans="6:13">
      <c r="F1189" s="33"/>
      <c r="G1189" s="33"/>
      <c r="M1189" s="33"/>
    </row>
    <row r="1190" spans="6:13">
      <c r="F1190" s="33"/>
      <c r="G1190" s="33"/>
      <c r="M1190" s="33"/>
    </row>
    <row r="1191" spans="6:13">
      <c r="F1191" s="33"/>
      <c r="G1191" s="33"/>
      <c r="M1191" s="33"/>
    </row>
    <row r="1192" spans="6:13">
      <c r="F1192" s="33"/>
      <c r="G1192" s="33"/>
      <c r="M1192" s="33"/>
    </row>
    <row r="1193" spans="6:13">
      <c r="F1193" s="33"/>
      <c r="G1193" s="33"/>
      <c r="M1193" s="33"/>
    </row>
    <row r="1194" spans="6:13">
      <c r="F1194" s="33"/>
      <c r="G1194" s="33"/>
      <c r="M1194" s="33"/>
    </row>
    <row r="1195" spans="6:13">
      <c r="F1195" s="33"/>
      <c r="G1195" s="33"/>
      <c r="M1195" s="33"/>
    </row>
    <row r="1196" spans="6:13">
      <c r="F1196" s="33"/>
      <c r="G1196" s="33"/>
      <c r="M1196" s="33"/>
    </row>
    <row r="1197" spans="6:13">
      <c r="F1197" s="33"/>
      <c r="G1197" s="33"/>
      <c r="M1197" s="33"/>
    </row>
    <row r="1198" spans="6:13">
      <c r="F1198" s="33"/>
      <c r="G1198" s="33"/>
      <c r="M1198" s="33"/>
    </row>
    <row r="1199" spans="6:13">
      <c r="F1199" s="33"/>
      <c r="G1199" s="33"/>
      <c r="M1199" s="33"/>
    </row>
    <row r="1200" spans="6:13">
      <c r="F1200" s="33"/>
      <c r="G1200" s="33"/>
      <c r="M1200" s="33"/>
    </row>
    <row r="1201" spans="6:13">
      <c r="F1201" s="33"/>
      <c r="G1201" s="33"/>
      <c r="M1201" s="33"/>
    </row>
    <row r="1202" spans="6:13">
      <c r="F1202" s="33"/>
      <c r="G1202" s="33"/>
      <c r="M1202" s="33"/>
    </row>
    <row r="1203" spans="6:13">
      <c r="F1203" s="33"/>
      <c r="G1203" s="33"/>
      <c r="M1203" s="33"/>
    </row>
    <row r="1204" spans="6:13">
      <c r="F1204" s="33"/>
      <c r="G1204" s="33"/>
      <c r="M1204" s="33"/>
    </row>
    <row r="1205" spans="6:13">
      <c r="F1205" s="33"/>
      <c r="G1205" s="33"/>
      <c r="M1205" s="33"/>
    </row>
    <row r="1206" spans="6:13">
      <c r="F1206" s="33"/>
      <c r="G1206" s="33"/>
      <c r="M1206" s="33"/>
    </row>
    <row r="1207" spans="6:13">
      <c r="F1207" s="33"/>
      <c r="G1207" s="33"/>
      <c r="M1207" s="33"/>
    </row>
    <row r="1208" spans="6:13">
      <c r="F1208" s="33"/>
      <c r="G1208" s="33"/>
      <c r="M1208" s="33"/>
    </row>
    <row r="1209" spans="6:13">
      <c r="F1209" s="33"/>
      <c r="G1209" s="33"/>
      <c r="M1209" s="33"/>
    </row>
    <row r="1210" spans="6:13">
      <c r="F1210" s="33"/>
      <c r="G1210" s="33"/>
      <c r="M1210" s="33"/>
    </row>
    <row r="1211" spans="6:13">
      <c r="F1211" s="33"/>
      <c r="G1211" s="33"/>
      <c r="M1211" s="33"/>
    </row>
    <row r="1212" spans="6:13">
      <c r="F1212" s="33"/>
      <c r="G1212" s="33"/>
      <c r="M1212" s="33"/>
    </row>
    <row r="1213" spans="6:13">
      <c r="F1213" s="33"/>
      <c r="G1213" s="33"/>
      <c r="M1213" s="33"/>
    </row>
    <row r="1214" spans="6:13">
      <c r="F1214" s="33"/>
      <c r="G1214" s="33"/>
      <c r="M1214" s="33"/>
    </row>
    <row r="1215" spans="6:13">
      <c r="F1215" s="33"/>
      <c r="G1215" s="33"/>
      <c r="M1215" s="33"/>
    </row>
    <row r="1216" spans="6:13">
      <c r="F1216" s="33"/>
      <c r="G1216" s="33"/>
      <c r="M1216" s="33"/>
    </row>
    <row r="1217" spans="6:13">
      <c r="F1217" s="33"/>
      <c r="G1217" s="33"/>
      <c r="M1217" s="33"/>
    </row>
    <row r="1218" spans="6:13">
      <c r="F1218" s="33"/>
      <c r="G1218" s="33"/>
      <c r="M1218" s="33"/>
    </row>
    <row r="1219" spans="6:13">
      <c r="F1219" s="33"/>
      <c r="G1219" s="33"/>
      <c r="M1219" s="33"/>
    </row>
    <row r="1220" spans="6:13">
      <c r="F1220" s="33"/>
      <c r="G1220" s="33"/>
      <c r="M1220" s="33"/>
    </row>
    <row r="1221" spans="6:13">
      <c r="F1221" s="33"/>
      <c r="G1221" s="33"/>
      <c r="M1221" s="33"/>
    </row>
    <row r="1222" spans="6:13">
      <c r="F1222" s="33"/>
      <c r="G1222" s="33"/>
      <c r="M1222" s="33"/>
    </row>
    <row r="1223" spans="6:13">
      <c r="F1223" s="33"/>
      <c r="G1223" s="33"/>
      <c r="M1223" s="33"/>
    </row>
    <row r="1224" spans="6:13">
      <c r="F1224" s="33"/>
      <c r="G1224" s="33"/>
      <c r="M1224" s="33"/>
    </row>
    <row r="1225" spans="6:13">
      <c r="F1225" s="33"/>
      <c r="G1225" s="33"/>
      <c r="M1225" s="33"/>
    </row>
    <row r="1226" spans="6:13">
      <c r="F1226" s="33"/>
      <c r="G1226" s="33"/>
      <c r="M1226" s="33"/>
    </row>
    <row r="1227" spans="6:13">
      <c r="F1227" s="33"/>
      <c r="G1227" s="33"/>
      <c r="M1227" s="33"/>
    </row>
    <row r="1228" spans="6:13">
      <c r="F1228" s="33"/>
      <c r="G1228" s="33"/>
      <c r="M1228" s="33"/>
    </row>
    <row r="1229" spans="6:13">
      <c r="F1229" s="33"/>
      <c r="G1229" s="33"/>
      <c r="M1229" s="33"/>
    </row>
    <row r="1230" spans="6:13">
      <c r="F1230" s="33"/>
      <c r="G1230" s="33"/>
      <c r="M1230" s="33"/>
    </row>
    <row r="1231" spans="6:13">
      <c r="F1231" s="33"/>
      <c r="G1231" s="33"/>
      <c r="M1231" s="33"/>
    </row>
    <row r="1232" spans="6:13">
      <c r="F1232" s="33"/>
      <c r="G1232" s="33"/>
      <c r="M1232" s="33"/>
    </row>
    <row r="1233" spans="6:13">
      <c r="F1233" s="33"/>
      <c r="G1233" s="33"/>
      <c r="M1233" s="33"/>
    </row>
    <row r="1234" spans="6:13">
      <c r="F1234" s="33"/>
      <c r="G1234" s="33"/>
      <c r="M1234" s="33"/>
    </row>
    <row r="1235" spans="6:13">
      <c r="F1235" s="33"/>
      <c r="G1235" s="33"/>
      <c r="M1235" s="33"/>
    </row>
    <row r="1236" spans="6:13">
      <c r="F1236" s="33"/>
      <c r="G1236" s="33"/>
      <c r="M1236" s="33"/>
    </row>
    <row r="1237" spans="6:13">
      <c r="F1237" s="33"/>
      <c r="G1237" s="33"/>
      <c r="M1237" s="33"/>
    </row>
    <row r="1238" spans="6:13">
      <c r="F1238" s="33"/>
      <c r="G1238" s="33"/>
      <c r="M1238" s="33"/>
    </row>
    <row r="1239" spans="6:13">
      <c r="F1239" s="33"/>
      <c r="G1239" s="33"/>
      <c r="M1239" s="33"/>
    </row>
    <row r="1240" spans="6:13">
      <c r="F1240" s="33"/>
      <c r="G1240" s="33"/>
      <c r="M1240" s="33"/>
    </row>
    <row r="1241" spans="6:13">
      <c r="F1241" s="33"/>
      <c r="G1241" s="33"/>
      <c r="M1241" s="33"/>
    </row>
    <row r="1242" spans="6:13">
      <c r="F1242" s="33"/>
      <c r="G1242" s="33"/>
      <c r="M1242" s="33"/>
    </row>
    <row r="1243" spans="6:13">
      <c r="F1243" s="33"/>
      <c r="G1243" s="33"/>
      <c r="M1243" s="33"/>
    </row>
    <row r="1244" spans="6:13">
      <c r="F1244" s="33"/>
      <c r="G1244" s="33"/>
      <c r="M1244" s="33"/>
    </row>
    <row r="1245" spans="6:13">
      <c r="F1245" s="33"/>
      <c r="G1245" s="33"/>
      <c r="M1245" s="33"/>
    </row>
    <row r="1246" spans="6:13">
      <c r="F1246" s="33"/>
      <c r="G1246" s="33"/>
      <c r="M1246" s="33"/>
    </row>
    <row r="1247" spans="6:13">
      <c r="F1247" s="33"/>
      <c r="G1247" s="33"/>
      <c r="M1247" s="33"/>
    </row>
    <row r="1248" spans="6:13">
      <c r="F1248" s="33"/>
      <c r="G1248" s="33"/>
      <c r="M1248" s="33"/>
    </row>
    <row r="1249" spans="6:13">
      <c r="F1249" s="33"/>
      <c r="G1249" s="33"/>
      <c r="M1249" s="33"/>
    </row>
    <row r="1250" spans="6:13">
      <c r="F1250" s="33"/>
      <c r="G1250" s="33"/>
      <c r="M1250" s="33"/>
    </row>
    <row r="1251" spans="6:13">
      <c r="F1251" s="33"/>
      <c r="G1251" s="33"/>
      <c r="M1251" s="33"/>
    </row>
    <row r="1252" spans="6:13">
      <c r="F1252" s="33"/>
      <c r="G1252" s="33"/>
      <c r="M1252" s="33"/>
    </row>
    <row r="1253" spans="6:13">
      <c r="F1253" s="33"/>
      <c r="G1253" s="33"/>
      <c r="M1253" s="33"/>
    </row>
    <row r="1254" spans="6:13">
      <c r="F1254" s="33"/>
      <c r="G1254" s="33"/>
      <c r="M1254" s="33"/>
    </row>
    <row r="1255" spans="6:13">
      <c r="F1255" s="33"/>
      <c r="G1255" s="33"/>
      <c r="M1255" s="33"/>
    </row>
    <row r="1256" spans="6:13">
      <c r="F1256" s="33"/>
      <c r="G1256" s="33"/>
      <c r="M1256" s="33"/>
    </row>
    <row r="1257" spans="6:13">
      <c r="F1257" s="33"/>
      <c r="G1257" s="33"/>
      <c r="M1257" s="33"/>
    </row>
    <row r="1258" spans="6:13">
      <c r="F1258" s="33"/>
      <c r="G1258" s="33"/>
      <c r="M1258" s="33"/>
    </row>
    <row r="1259" spans="6:13">
      <c r="F1259" s="33"/>
      <c r="G1259" s="33"/>
      <c r="M1259" s="33"/>
    </row>
    <row r="1260" spans="6:13">
      <c r="F1260" s="33"/>
      <c r="G1260" s="33"/>
      <c r="M1260" s="33"/>
    </row>
    <row r="1261" spans="6:13">
      <c r="F1261" s="33"/>
      <c r="G1261" s="33"/>
      <c r="M1261" s="33"/>
    </row>
    <row r="1262" spans="6:13">
      <c r="F1262" s="33"/>
      <c r="G1262" s="33"/>
      <c r="M1262" s="33"/>
    </row>
    <row r="1263" spans="6:13">
      <c r="F1263" s="33"/>
      <c r="G1263" s="33"/>
      <c r="M1263" s="33"/>
    </row>
    <row r="1264" spans="6:13">
      <c r="F1264" s="33"/>
      <c r="G1264" s="33"/>
      <c r="M1264" s="33"/>
    </row>
    <row r="1265" spans="6:13">
      <c r="F1265" s="33"/>
      <c r="G1265" s="33"/>
      <c r="M1265" s="33"/>
    </row>
    <row r="1266" spans="6:13">
      <c r="F1266" s="33"/>
      <c r="G1266" s="33"/>
      <c r="M1266" s="33"/>
    </row>
    <row r="1267" spans="6:13">
      <c r="F1267" s="33"/>
      <c r="G1267" s="33"/>
      <c r="M1267" s="33"/>
    </row>
    <row r="1268" spans="6:13">
      <c r="F1268" s="33"/>
      <c r="G1268" s="33"/>
      <c r="M1268" s="33"/>
    </row>
    <row r="1269" spans="6:13">
      <c r="F1269" s="33"/>
      <c r="G1269" s="33"/>
      <c r="M1269" s="33"/>
    </row>
    <row r="1270" spans="6:13">
      <c r="F1270" s="33"/>
      <c r="G1270" s="33"/>
      <c r="M1270" s="33"/>
    </row>
    <row r="1271" spans="6:13">
      <c r="F1271" s="33"/>
      <c r="G1271" s="33"/>
      <c r="M1271" s="33"/>
    </row>
    <row r="1272" spans="6:13">
      <c r="F1272" s="33"/>
      <c r="G1272" s="33"/>
      <c r="M1272" s="33"/>
    </row>
    <row r="1273" spans="6:13">
      <c r="F1273" s="33"/>
      <c r="G1273" s="33"/>
      <c r="M1273" s="33"/>
    </row>
    <row r="1274" spans="6:13">
      <c r="F1274" s="33"/>
      <c r="G1274" s="33"/>
      <c r="M1274" s="33"/>
    </row>
    <row r="1275" spans="6:13">
      <c r="F1275" s="33"/>
      <c r="G1275" s="33"/>
      <c r="M1275" s="33"/>
    </row>
    <row r="1276" spans="6:13">
      <c r="F1276" s="33"/>
      <c r="G1276" s="33"/>
      <c r="M1276" s="33"/>
    </row>
    <row r="1277" spans="6:13">
      <c r="F1277" s="33"/>
      <c r="G1277" s="33"/>
      <c r="M1277" s="33"/>
    </row>
    <row r="1278" spans="6:13">
      <c r="F1278" s="33"/>
      <c r="G1278" s="33"/>
      <c r="M1278" s="33"/>
    </row>
    <row r="1279" spans="6:13">
      <c r="F1279" s="33"/>
      <c r="G1279" s="33"/>
      <c r="M1279" s="33"/>
    </row>
    <row r="1280" spans="6:13">
      <c r="F1280" s="33"/>
      <c r="G1280" s="33"/>
      <c r="M1280" s="33"/>
    </row>
    <row r="1281" spans="6:13">
      <c r="F1281" s="33"/>
      <c r="G1281" s="33"/>
      <c r="M1281" s="33"/>
    </row>
    <row r="1282" spans="6:13">
      <c r="F1282" s="33"/>
      <c r="G1282" s="33"/>
      <c r="M1282" s="33"/>
    </row>
    <row r="1283" spans="6:13">
      <c r="F1283" s="33"/>
      <c r="G1283" s="33"/>
      <c r="M1283" s="33"/>
    </row>
    <row r="1284" spans="6:13">
      <c r="F1284" s="33"/>
      <c r="G1284" s="33"/>
      <c r="M1284" s="33"/>
    </row>
    <row r="1285" spans="6:13">
      <c r="F1285" s="33"/>
      <c r="G1285" s="33"/>
      <c r="M1285" s="33"/>
    </row>
    <row r="1286" spans="6:13">
      <c r="F1286" s="33"/>
      <c r="G1286" s="33"/>
      <c r="M1286" s="33"/>
    </row>
    <row r="1287" spans="6:13">
      <c r="F1287" s="33"/>
      <c r="G1287" s="33"/>
      <c r="M1287" s="33"/>
    </row>
    <row r="1288" spans="6:13">
      <c r="F1288" s="33"/>
      <c r="G1288" s="33"/>
      <c r="M1288" s="33"/>
    </row>
    <row r="1289" spans="6:13">
      <c r="F1289" s="33"/>
      <c r="G1289" s="33"/>
      <c r="M1289" s="33"/>
    </row>
    <row r="1290" spans="6:13">
      <c r="F1290" s="33"/>
      <c r="G1290" s="33"/>
      <c r="M1290" s="33"/>
    </row>
    <row r="1291" spans="6:13">
      <c r="F1291" s="33"/>
      <c r="G1291" s="33"/>
      <c r="M1291" s="33"/>
    </row>
    <row r="1292" spans="6:13">
      <c r="F1292" s="33"/>
      <c r="G1292" s="33"/>
      <c r="M1292" s="33"/>
    </row>
    <row r="1293" spans="6:13">
      <c r="F1293" s="33"/>
      <c r="G1293" s="33"/>
      <c r="M1293" s="33"/>
    </row>
    <row r="1294" spans="6:13">
      <c r="F1294" s="33"/>
      <c r="G1294" s="33"/>
      <c r="M1294" s="33"/>
    </row>
    <row r="1295" spans="6:13">
      <c r="F1295" s="33"/>
      <c r="G1295" s="33"/>
      <c r="M1295" s="33"/>
    </row>
    <row r="1296" spans="6:13">
      <c r="F1296" s="33"/>
      <c r="G1296" s="33"/>
      <c r="M1296" s="33"/>
    </row>
    <row r="1297" spans="6:13">
      <c r="F1297" s="33"/>
      <c r="G1297" s="33"/>
      <c r="M1297" s="33"/>
    </row>
    <row r="1298" spans="6:13">
      <c r="F1298" s="33"/>
      <c r="G1298" s="33"/>
      <c r="M1298" s="33"/>
    </row>
    <row r="1299" spans="6:13">
      <c r="F1299" s="33"/>
      <c r="G1299" s="33"/>
      <c r="M1299" s="33"/>
    </row>
    <row r="1300" spans="6:13">
      <c r="F1300" s="33"/>
      <c r="G1300" s="33"/>
      <c r="M1300" s="33"/>
    </row>
    <row r="1301" spans="6:13">
      <c r="F1301" s="33"/>
      <c r="G1301" s="33"/>
      <c r="M1301" s="33"/>
    </row>
    <row r="1302" spans="6:13">
      <c r="F1302" s="33"/>
      <c r="G1302" s="33"/>
      <c r="M1302" s="33"/>
    </row>
    <row r="1303" spans="6:13">
      <c r="F1303" s="33"/>
      <c r="G1303" s="33"/>
      <c r="M1303" s="33"/>
    </row>
    <row r="1304" spans="6:13">
      <c r="F1304" s="33"/>
      <c r="G1304" s="33"/>
      <c r="M1304" s="33"/>
    </row>
    <row r="1305" spans="6:13">
      <c r="F1305" s="33"/>
      <c r="G1305" s="33"/>
      <c r="M1305" s="33"/>
    </row>
    <row r="1306" spans="6:13">
      <c r="F1306" s="33"/>
      <c r="G1306" s="33"/>
      <c r="M1306" s="33"/>
    </row>
    <row r="1307" spans="6:13">
      <c r="F1307" s="33"/>
      <c r="G1307" s="33"/>
      <c r="M1307" s="33"/>
    </row>
    <row r="1308" spans="6:13">
      <c r="F1308" s="33"/>
      <c r="G1308" s="33"/>
      <c r="M1308" s="33"/>
    </row>
    <row r="1309" spans="6:13">
      <c r="F1309" s="33"/>
      <c r="G1309" s="33"/>
      <c r="M1309" s="33"/>
    </row>
    <row r="1310" spans="6:13">
      <c r="F1310" s="33"/>
      <c r="G1310" s="33"/>
      <c r="M1310" s="33"/>
    </row>
    <row r="1311" spans="6:13">
      <c r="F1311" s="33"/>
      <c r="G1311" s="33"/>
      <c r="M1311" s="33"/>
    </row>
    <row r="1312" spans="6:13">
      <c r="F1312" s="33"/>
      <c r="G1312" s="33"/>
      <c r="M1312" s="33"/>
    </row>
    <row r="1313" spans="6:13">
      <c r="F1313" s="33"/>
      <c r="G1313" s="33"/>
      <c r="M1313" s="33"/>
    </row>
    <row r="1314" spans="6:13">
      <c r="F1314" s="33"/>
      <c r="G1314" s="33"/>
      <c r="M1314" s="33"/>
    </row>
    <row r="1315" spans="6:13">
      <c r="F1315" s="33"/>
      <c r="G1315" s="33"/>
      <c r="M1315" s="33"/>
    </row>
    <row r="1316" spans="6:13">
      <c r="F1316" s="33"/>
      <c r="G1316" s="33"/>
      <c r="M1316" s="33"/>
    </row>
    <row r="1317" spans="6:13">
      <c r="F1317" s="33"/>
      <c r="G1317" s="33"/>
      <c r="M1317" s="33"/>
    </row>
    <row r="1318" spans="6:13">
      <c r="F1318" s="33"/>
      <c r="G1318" s="33"/>
      <c r="M1318" s="33"/>
    </row>
    <row r="1319" spans="6:13">
      <c r="F1319" s="33"/>
      <c r="G1319" s="33"/>
      <c r="M1319" s="33"/>
    </row>
    <row r="1320" spans="6:13">
      <c r="F1320" s="33"/>
      <c r="G1320" s="33"/>
      <c r="M1320" s="33"/>
    </row>
    <row r="1321" spans="6:13">
      <c r="F1321" s="33"/>
      <c r="G1321" s="33"/>
      <c r="M1321" s="33"/>
    </row>
    <row r="1322" spans="6:13">
      <c r="F1322" s="33"/>
      <c r="G1322" s="33"/>
      <c r="M1322" s="33"/>
    </row>
    <row r="1323" spans="6:13">
      <c r="F1323" s="33"/>
      <c r="G1323" s="33"/>
      <c r="M1323" s="33"/>
    </row>
    <row r="1324" spans="6:13">
      <c r="F1324" s="33"/>
      <c r="G1324" s="33"/>
      <c r="M1324" s="33"/>
    </row>
    <row r="1325" spans="6:13">
      <c r="F1325" s="33"/>
      <c r="G1325" s="33"/>
      <c r="M1325" s="33"/>
    </row>
    <row r="1326" spans="6:13">
      <c r="F1326" s="33"/>
      <c r="G1326" s="33"/>
      <c r="M1326" s="33"/>
    </row>
    <row r="1327" spans="6:13">
      <c r="F1327" s="33"/>
      <c r="G1327" s="33"/>
      <c r="M1327" s="33"/>
    </row>
    <row r="1328" spans="6:13">
      <c r="F1328" s="33"/>
      <c r="G1328" s="33"/>
      <c r="M1328" s="33"/>
    </row>
    <row r="1329" spans="6:13">
      <c r="F1329" s="33"/>
      <c r="G1329" s="33"/>
      <c r="M1329" s="33"/>
    </row>
    <row r="1330" spans="6:13">
      <c r="F1330" s="33"/>
      <c r="G1330" s="33"/>
      <c r="M1330" s="33"/>
    </row>
    <row r="1331" spans="6:13">
      <c r="F1331" s="33"/>
      <c r="G1331" s="33"/>
      <c r="M1331" s="33"/>
    </row>
    <row r="1332" spans="6:13">
      <c r="F1332" s="33"/>
      <c r="G1332" s="33"/>
      <c r="M1332" s="33"/>
    </row>
    <row r="1333" spans="6:13">
      <c r="F1333" s="33"/>
      <c r="G1333" s="33"/>
      <c r="M1333" s="33"/>
    </row>
    <row r="1334" spans="6:13">
      <c r="F1334" s="33"/>
      <c r="G1334" s="33"/>
      <c r="M1334" s="33"/>
    </row>
    <row r="1335" spans="6:13">
      <c r="F1335" s="33"/>
      <c r="G1335" s="33"/>
      <c r="M1335" s="33"/>
    </row>
    <row r="1336" spans="6:13">
      <c r="F1336" s="33"/>
      <c r="G1336" s="33"/>
      <c r="M1336" s="33"/>
    </row>
    <row r="1337" spans="6:13">
      <c r="F1337" s="33"/>
      <c r="G1337" s="33"/>
      <c r="M1337" s="33"/>
    </row>
    <row r="1338" spans="6:13">
      <c r="F1338" s="33"/>
      <c r="G1338" s="33"/>
      <c r="M1338" s="33"/>
    </row>
    <row r="1339" spans="6:13">
      <c r="F1339" s="33"/>
      <c r="G1339" s="33"/>
      <c r="M1339" s="33"/>
    </row>
    <row r="1340" spans="6:13">
      <c r="F1340" s="33"/>
      <c r="G1340" s="33"/>
      <c r="M1340" s="33"/>
    </row>
    <row r="1341" spans="6:13">
      <c r="F1341" s="33"/>
      <c r="G1341" s="33"/>
      <c r="M1341" s="33"/>
    </row>
    <row r="1342" spans="6:13">
      <c r="F1342" s="33"/>
      <c r="G1342" s="33"/>
      <c r="M1342" s="33"/>
    </row>
    <row r="1343" spans="6:13">
      <c r="F1343" s="33"/>
      <c r="G1343" s="33"/>
      <c r="M1343" s="33"/>
    </row>
    <row r="1344" spans="6:13">
      <c r="F1344" s="33"/>
      <c r="G1344" s="33"/>
      <c r="M1344" s="33"/>
    </row>
    <row r="1345" spans="6:13">
      <c r="F1345" s="33"/>
      <c r="G1345" s="33"/>
      <c r="M1345" s="33"/>
    </row>
    <row r="1346" spans="6:13">
      <c r="F1346" s="33"/>
      <c r="G1346" s="33"/>
      <c r="M1346" s="33"/>
    </row>
    <row r="1347" spans="6:13">
      <c r="F1347" s="33"/>
      <c r="G1347" s="33"/>
      <c r="M1347" s="33"/>
    </row>
    <row r="1348" spans="6:13">
      <c r="F1348" s="33"/>
      <c r="G1348" s="33"/>
      <c r="M1348" s="33"/>
    </row>
    <row r="1349" spans="6:13">
      <c r="F1349" s="33"/>
      <c r="G1349" s="33"/>
      <c r="M1349" s="33"/>
    </row>
    <row r="1350" spans="6:13">
      <c r="F1350" s="33"/>
      <c r="G1350" s="33"/>
      <c r="M1350" s="33"/>
    </row>
    <row r="1351" spans="6:13">
      <c r="F1351" s="33"/>
      <c r="G1351" s="33"/>
      <c r="M1351" s="33"/>
    </row>
    <row r="1352" spans="6:13">
      <c r="F1352" s="33"/>
      <c r="G1352" s="33"/>
      <c r="M1352" s="33"/>
    </row>
    <row r="1353" spans="6:13">
      <c r="F1353" s="33"/>
      <c r="G1353" s="33"/>
      <c r="M1353" s="33"/>
    </row>
    <row r="1354" spans="6:13">
      <c r="F1354" s="33"/>
      <c r="G1354" s="33"/>
      <c r="M1354" s="33"/>
    </row>
    <row r="1355" spans="6:13">
      <c r="F1355" s="33"/>
      <c r="G1355" s="33"/>
      <c r="M1355" s="33"/>
    </row>
    <row r="1356" spans="6:13">
      <c r="F1356" s="33"/>
      <c r="G1356" s="33"/>
      <c r="M1356" s="33"/>
    </row>
    <row r="1357" spans="6:13">
      <c r="F1357" s="33"/>
      <c r="G1357" s="33"/>
      <c r="M1357" s="33"/>
    </row>
    <row r="1358" spans="6:13">
      <c r="F1358" s="33"/>
      <c r="G1358" s="33"/>
      <c r="M1358" s="33"/>
    </row>
    <row r="1359" spans="6:13">
      <c r="F1359" s="33"/>
      <c r="G1359" s="33"/>
      <c r="M1359" s="33"/>
    </row>
    <row r="1360" spans="6:13">
      <c r="F1360" s="33"/>
      <c r="G1360" s="33"/>
      <c r="M1360" s="33"/>
    </row>
    <row r="1361" spans="6:13">
      <c r="F1361" s="33"/>
      <c r="G1361" s="33"/>
      <c r="M1361" s="33"/>
    </row>
    <row r="1362" spans="6:13">
      <c r="F1362" s="33"/>
      <c r="G1362" s="33"/>
      <c r="M1362" s="33"/>
    </row>
    <row r="1363" spans="6:13">
      <c r="F1363" s="33"/>
      <c r="G1363" s="33"/>
      <c r="M1363" s="33"/>
    </row>
    <row r="1364" spans="6:13">
      <c r="F1364" s="33"/>
      <c r="G1364" s="33"/>
      <c r="M1364" s="33"/>
    </row>
    <row r="1365" spans="6:13">
      <c r="F1365" s="33"/>
      <c r="G1365" s="33"/>
      <c r="M1365" s="33"/>
    </row>
    <row r="1366" spans="6:13">
      <c r="F1366" s="33"/>
      <c r="G1366" s="33"/>
      <c r="M1366" s="33"/>
    </row>
    <row r="1367" spans="6:13">
      <c r="F1367" s="33"/>
      <c r="G1367" s="33"/>
      <c r="M1367" s="33"/>
    </row>
    <row r="1368" spans="6:13">
      <c r="F1368" s="33"/>
      <c r="G1368" s="33"/>
      <c r="M1368" s="33"/>
    </row>
    <row r="1369" spans="6:13">
      <c r="F1369" s="33"/>
      <c r="G1369" s="33"/>
      <c r="M1369" s="33"/>
    </row>
    <row r="1370" spans="6:13">
      <c r="F1370" s="33"/>
      <c r="G1370" s="33"/>
      <c r="M1370" s="33"/>
    </row>
    <row r="1371" spans="6:13">
      <c r="F1371" s="33"/>
      <c r="G1371" s="33"/>
      <c r="M1371" s="33"/>
    </row>
    <row r="1372" spans="6:13">
      <c r="F1372" s="33"/>
      <c r="G1372" s="33"/>
      <c r="M1372" s="33"/>
    </row>
    <row r="1373" spans="6:13">
      <c r="F1373" s="33"/>
      <c r="G1373" s="33"/>
      <c r="M1373" s="33"/>
    </row>
    <row r="1374" spans="6:13">
      <c r="F1374" s="33"/>
      <c r="G1374" s="33"/>
      <c r="M1374" s="33"/>
    </row>
    <row r="1375" spans="6:13">
      <c r="F1375" s="33"/>
      <c r="G1375" s="33"/>
      <c r="M1375" s="33"/>
    </row>
    <row r="1376" spans="6:13">
      <c r="F1376" s="33"/>
      <c r="G1376" s="33"/>
      <c r="M1376" s="33"/>
    </row>
    <row r="1377" spans="6:13">
      <c r="F1377" s="33"/>
      <c r="G1377" s="33"/>
      <c r="M1377" s="33"/>
    </row>
    <row r="1378" spans="6:13">
      <c r="F1378" s="33"/>
      <c r="G1378" s="33"/>
      <c r="M1378" s="33"/>
    </row>
    <row r="1379" spans="6:13">
      <c r="F1379" s="33"/>
      <c r="G1379" s="33"/>
      <c r="M1379" s="33"/>
    </row>
    <row r="1380" spans="6:13">
      <c r="F1380" s="33"/>
      <c r="G1380" s="33"/>
      <c r="M1380" s="33"/>
    </row>
    <row r="1381" spans="6:13">
      <c r="F1381" s="33"/>
      <c r="G1381" s="33"/>
      <c r="M1381" s="33"/>
    </row>
    <row r="1382" spans="6:13">
      <c r="F1382" s="33"/>
      <c r="G1382" s="33"/>
      <c r="M1382" s="33"/>
    </row>
    <row r="1383" spans="6:13">
      <c r="F1383" s="33"/>
      <c r="G1383" s="33"/>
      <c r="M1383" s="33"/>
    </row>
    <row r="1384" spans="6:13">
      <c r="F1384" s="33"/>
      <c r="G1384" s="33"/>
      <c r="M1384" s="33"/>
    </row>
    <row r="1385" spans="6:13">
      <c r="F1385" s="33"/>
      <c r="G1385" s="33"/>
      <c r="M1385" s="33"/>
    </row>
    <row r="1386" spans="6:13">
      <c r="F1386" s="33"/>
      <c r="G1386" s="33"/>
      <c r="M1386" s="33"/>
    </row>
    <row r="1387" spans="6:13">
      <c r="F1387" s="33"/>
      <c r="G1387" s="33"/>
      <c r="M1387" s="33"/>
    </row>
    <row r="1388" spans="6:13">
      <c r="F1388" s="33"/>
      <c r="G1388" s="33"/>
      <c r="M1388" s="33"/>
    </row>
    <row r="1389" spans="6:13">
      <c r="F1389" s="33"/>
      <c r="G1389" s="33"/>
      <c r="M1389" s="33"/>
    </row>
    <row r="1390" spans="6:13">
      <c r="F1390" s="33"/>
      <c r="G1390" s="33"/>
      <c r="M1390" s="33"/>
    </row>
    <row r="1391" spans="6:13">
      <c r="F1391" s="33"/>
      <c r="G1391" s="33"/>
      <c r="M1391" s="33"/>
    </row>
    <row r="1392" spans="6:13">
      <c r="F1392" s="33"/>
      <c r="G1392" s="33"/>
      <c r="M1392" s="33"/>
    </row>
    <row r="1393" spans="6:13">
      <c r="F1393" s="33"/>
      <c r="G1393" s="33"/>
      <c r="M1393" s="33"/>
    </row>
    <row r="1394" spans="6:13">
      <c r="F1394" s="33"/>
      <c r="G1394" s="33"/>
      <c r="M1394" s="33"/>
    </row>
    <row r="1395" spans="6:13">
      <c r="F1395" s="33"/>
      <c r="G1395" s="33"/>
      <c r="M1395" s="33"/>
    </row>
    <row r="1396" spans="6:13">
      <c r="F1396" s="33"/>
      <c r="G1396" s="33"/>
      <c r="M1396" s="33"/>
    </row>
    <row r="1397" spans="6:13">
      <c r="F1397" s="33"/>
      <c r="G1397" s="33"/>
      <c r="M1397" s="33"/>
    </row>
    <row r="1398" spans="6:13">
      <c r="F1398" s="33"/>
      <c r="G1398" s="33"/>
      <c r="M1398" s="33"/>
    </row>
    <row r="1399" spans="6:13">
      <c r="F1399" s="33"/>
      <c r="G1399" s="33"/>
      <c r="M1399" s="33"/>
    </row>
    <row r="1400" spans="6:13">
      <c r="F1400" s="33"/>
      <c r="G1400" s="33"/>
      <c r="M1400" s="33"/>
    </row>
    <row r="1401" spans="6:13">
      <c r="F1401" s="33"/>
      <c r="G1401" s="33"/>
      <c r="M1401" s="33"/>
    </row>
    <row r="1402" spans="6:13">
      <c r="F1402" s="33"/>
      <c r="G1402" s="33"/>
      <c r="M1402" s="33"/>
    </row>
    <row r="1403" spans="6:13">
      <c r="F1403" s="33"/>
      <c r="G1403" s="33"/>
      <c r="M1403" s="33"/>
    </row>
    <row r="1404" spans="6:13">
      <c r="F1404" s="33"/>
      <c r="G1404" s="33"/>
      <c r="M1404" s="33"/>
    </row>
    <row r="1405" spans="6:13">
      <c r="F1405" s="33"/>
      <c r="G1405" s="33"/>
      <c r="M1405" s="33"/>
    </row>
    <row r="1406" spans="6:13">
      <c r="F1406" s="33"/>
      <c r="G1406" s="33"/>
      <c r="M1406" s="33"/>
    </row>
    <row r="1407" spans="6:13">
      <c r="F1407" s="33"/>
      <c r="G1407" s="33"/>
      <c r="M1407" s="33"/>
    </row>
    <row r="1408" spans="6:13">
      <c r="F1408" s="33"/>
      <c r="G1408" s="33"/>
      <c r="M1408" s="33"/>
    </row>
    <row r="1409" spans="6:13">
      <c r="F1409" s="33"/>
      <c r="G1409" s="33"/>
      <c r="M1409" s="33"/>
    </row>
    <row r="1410" spans="6:13">
      <c r="F1410" s="33"/>
      <c r="G1410" s="33"/>
      <c r="M1410" s="33"/>
    </row>
    <row r="1411" spans="6:13">
      <c r="F1411" s="33"/>
      <c r="G1411" s="33"/>
      <c r="M1411" s="33"/>
    </row>
    <row r="1412" spans="6:13">
      <c r="F1412" s="33"/>
      <c r="G1412" s="33"/>
      <c r="M1412" s="33"/>
    </row>
    <row r="1413" spans="6:13">
      <c r="F1413" s="33"/>
      <c r="G1413" s="33"/>
      <c r="M1413" s="33"/>
    </row>
    <row r="1414" spans="6:13">
      <c r="F1414" s="33"/>
      <c r="G1414" s="33"/>
      <c r="M1414" s="33"/>
    </row>
    <row r="1415" spans="6:13">
      <c r="F1415" s="33"/>
      <c r="G1415" s="33"/>
      <c r="M1415" s="33"/>
    </row>
    <row r="1416" spans="6:13">
      <c r="F1416" s="33"/>
      <c r="G1416" s="33"/>
      <c r="M1416" s="33"/>
    </row>
    <row r="1417" spans="6:13">
      <c r="F1417" s="33"/>
      <c r="G1417" s="33"/>
      <c r="M1417" s="33"/>
    </row>
    <row r="1418" spans="6:13">
      <c r="F1418" s="33"/>
      <c r="G1418" s="33"/>
      <c r="M1418" s="33"/>
    </row>
    <row r="1419" spans="6:13">
      <c r="F1419" s="33"/>
      <c r="G1419" s="33"/>
      <c r="M1419" s="33"/>
    </row>
    <row r="1420" spans="6:13">
      <c r="F1420" s="33"/>
      <c r="G1420" s="33"/>
      <c r="M1420" s="33"/>
    </row>
    <row r="1421" spans="6:13">
      <c r="F1421" s="33"/>
      <c r="G1421" s="33"/>
      <c r="M1421" s="33"/>
    </row>
    <row r="1422" spans="6:13">
      <c r="F1422" s="33"/>
      <c r="G1422" s="33"/>
      <c r="M1422" s="33"/>
    </row>
    <row r="1423" spans="6:13">
      <c r="F1423" s="33"/>
      <c r="G1423" s="33"/>
      <c r="M1423" s="33"/>
    </row>
    <row r="1424" spans="6:13">
      <c r="F1424" s="33"/>
      <c r="G1424" s="33"/>
      <c r="M1424" s="33"/>
    </row>
    <row r="1425" spans="6:13">
      <c r="F1425" s="33"/>
      <c r="G1425" s="33"/>
      <c r="M1425" s="33"/>
    </row>
    <row r="1426" spans="6:13">
      <c r="F1426" s="33"/>
      <c r="G1426" s="33"/>
      <c r="M1426" s="33"/>
    </row>
    <row r="1427" spans="6:13">
      <c r="F1427" s="33"/>
      <c r="G1427" s="33"/>
      <c r="M1427" s="33"/>
    </row>
    <row r="1428" spans="6:13">
      <c r="F1428" s="33"/>
      <c r="G1428" s="33"/>
      <c r="M1428" s="33"/>
    </row>
    <row r="1429" spans="6:13">
      <c r="F1429" s="33"/>
      <c r="G1429" s="33"/>
      <c r="M1429" s="33"/>
    </row>
    <row r="1430" spans="6:13">
      <c r="F1430" s="33"/>
      <c r="G1430" s="33"/>
      <c r="M1430" s="33"/>
    </row>
    <row r="1431" spans="6:13">
      <c r="F1431" s="33"/>
      <c r="G1431" s="33"/>
      <c r="M1431" s="33"/>
    </row>
    <row r="1432" spans="6:13">
      <c r="F1432" s="33"/>
      <c r="G1432" s="33"/>
      <c r="M1432" s="33"/>
    </row>
    <row r="1433" spans="6:13">
      <c r="F1433" s="33"/>
      <c r="G1433" s="33"/>
      <c r="M1433" s="33"/>
    </row>
    <row r="1434" spans="6:13">
      <c r="F1434" s="33"/>
      <c r="G1434" s="33"/>
      <c r="M1434" s="33"/>
    </row>
    <row r="1435" spans="6:13">
      <c r="F1435" s="33"/>
      <c r="G1435" s="33"/>
      <c r="M1435" s="33"/>
    </row>
    <row r="1436" spans="6:13">
      <c r="F1436" s="33"/>
      <c r="G1436" s="33"/>
      <c r="M1436" s="33"/>
    </row>
    <row r="1437" spans="6:13">
      <c r="F1437" s="33"/>
      <c r="G1437" s="33"/>
      <c r="M1437" s="33"/>
    </row>
    <row r="1438" spans="6:13">
      <c r="F1438" s="33"/>
      <c r="G1438" s="33"/>
      <c r="M1438" s="33"/>
    </row>
    <row r="1439" spans="6:13">
      <c r="F1439" s="33"/>
      <c r="G1439" s="33"/>
      <c r="M1439" s="33"/>
    </row>
    <row r="1440" spans="6:13">
      <c r="F1440" s="33"/>
      <c r="G1440" s="33"/>
      <c r="M1440" s="33"/>
    </row>
    <row r="1441" spans="6:13">
      <c r="F1441" s="33"/>
      <c r="G1441" s="33"/>
      <c r="M1441" s="33"/>
    </row>
    <row r="1442" spans="6:13">
      <c r="F1442" s="33"/>
      <c r="G1442" s="33"/>
      <c r="M1442" s="33"/>
    </row>
    <row r="1443" spans="6:13">
      <c r="F1443" s="33"/>
      <c r="G1443" s="33"/>
      <c r="M1443" s="33"/>
    </row>
    <row r="1444" spans="6:13">
      <c r="F1444" s="33"/>
      <c r="G1444" s="33"/>
      <c r="M1444" s="33"/>
    </row>
    <row r="1445" spans="6:13">
      <c r="F1445" s="33"/>
      <c r="G1445" s="33"/>
      <c r="M1445" s="33"/>
    </row>
    <row r="1446" spans="6:13">
      <c r="F1446" s="33"/>
      <c r="G1446" s="33"/>
      <c r="M1446" s="33"/>
    </row>
    <row r="1447" spans="6:13">
      <c r="F1447" s="33"/>
      <c r="G1447" s="33"/>
      <c r="M1447" s="33"/>
    </row>
    <row r="1448" spans="6:13">
      <c r="F1448" s="33"/>
      <c r="G1448" s="33"/>
      <c r="M1448" s="33"/>
    </row>
    <row r="1449" spans="6:13">
      <c r="F1449" s="33"/>
      <c r="G1449" s="33"/>
      <c r="M1449" s="33"/>
    </row>
    <row r="1450" spans="6:13">
      <c r="F1450" s="33"/>
      <c r="G1450" s="33"/>
      <c r="M1450" s="33"/>
    </row>
    <row r="1451" spans="6:13">
      <c r="F1451" s="33"/>
      <c r="G1451" s="33"/>
      <c r="M1451" s="33"/>
    </row>
    <row r="1452" spans="6:13">
      <c r="F1452" s="33"/>
      <c r="G1452" s="33"/>
      <c r="M1452" s="33"/>
    </row>
    <row r="1453" spans="6:13">
      <c r="F1453" s="33"/>
      <c r="G1453" s="33"/>
      <c r="M1453" s="33"/>
    </row>
    <row r="1454" spans="6:13">
      <c r="F1454" s="33"/>
      <c r="G1454" s="33"/>
      <c r="M1454" s="33"/>
    </row>
    <row r="1455" spans="6:13">
      <c r="F1455" s="33"/>
      <c r="G1455" s="33"/>
      <c r="M1455" s="33"/>
    </row>
    <row r="1456" spans="6:13">
      <c r="F1456" s="33"/>
      <c r="G1456" s="33"/>
      <c r="M1456" s="33"/>
    </row>
    <row r="1457" spans="6:13">
      <c r="F1457" s="33"/>
      <c r="G1457" s="33"/>
      <c r="M1457" s="33"/>
    </row>
    <row r="1458" spans="6:13">
      <c r="F1458" s="33"/>
      <c r="G1458" s="33"/>
      <c r="M1458" s="33"/>
    </row>
    <row r="1459" spans="6:13">
      <c r="F1459" s="33"/>
      <c r="G1459" s="33"/>
      <c r="M1459" s="33"/>
    </row>
    <row r="1460" spans="6:13">
      <c r="F1460" s="33"/>
      <c r="G1460" s="33"/>
      <c r="M1460" s="33"/>
    </row>
    <row r="1461" spans="6:13">
      <c r="F1461" s="33"/>
      <c r="G1461" s="33"/>
      <c r="M1461" s="33"/>
    </row>
    <row r="1462" spans="6:13">
      <c r="F1462" s="33"/>
      <c r="G1462" s="33"/>
      <c r="M1462" s="33"/>
    </row>
    <row r="1463" spans="6:13">
      <c r="F1463" s="33"/>
      <c r="G1463" s="33"/>
      <c r="M1463" s="33"/>
    </row>
    <row r="1464" spans="6:13">
      <c r="F1464" s="33"/>
      <c r="G1464" s="33"/>
      <c r="M1464" s="33"/>
    </row>
    <row r="1465" spans="6:13">
      <c r="F1465" s="33"/>
      <c r="G1465" s="33"/>
      <c r="M1465" s="33"/>
    </row>
    <row r="1466" spans="6:13">
      <c r="F1466" s="33"/>
      <c r="G1466" s="33"/>
      <c r="M1466" s="33"/>
    </row>
    <row r="1467" spans="6:13">
      <c r="F1467" s="33"/>
      <c r="G1467" s="33"/>
      <c r="M1467" s="33"/>
    </row>
    <row r="1468" spans="6:13">
      <c r="F1468" s="33"/>
      <c r="G1468" s="33"/>
      <c r="M1468" s="33"/>
    </row>
    <row r="1469" spans="6:13">
      <c r="F1469" s="33"/>
      <c r="G1469" s="33"/>
      <c r="M1469" s="33"/>
    </row>
    <row r="1470" spans="6:13">
      <c r="F1470" s="33"/>
      <c r="G1470" s="33"/>
      <c r="M1470" s="33"/>
    </row>
    <row r="1471" spans="6:13">
      <c r="F1471" s="33"/>
      <c r="G1471" s="33"/>
      <c r="M1471" s="33"/>
    </row>
    <row r="1472" spans="6:13">
      <c r="F1472" s="33"/>
      <c r="G1472" s="33"/>
      <c r="M1472" s="33"/>
    </row>
    <row r="1473" spans="6:13">
      <c r="F1473" s="33"/>
      <c r="G1473" s="33"/>
      <c r="M1473" s="33"/>
    </row>
    <row r="1474" spans="6:13">
      <c r="F1474" s="33"/>
      <c r="G1474" s="33"/>
      <c r="M1474" s="33"/>
    </row>
    <row r="1475" spans="6:13">
      <c r="F1475" s="33"/>
      <c r="G1475" s="33"/>
      <c r="M1475" s="33"/>
    </row>
    <row r="1476" spans="6:13">
      <c r="F1476" s="33"/>
      <c r="G1476" s="33"/>
      <c r="M1476" s="33"/>
    </row>
    <row r="1477" spans="6:13">
      <c r="F1477" s="33"/>
      <c r="G1477" s="33"/>
      <c r="M1477" s="33"/>
    </row>
    <row r="1478" spans="6:13">
      <c r="F1478" s="33"/>
      <c r="G1478" s="33"/>
      <c r="M1478" s="33"/>
    </row>
    <row r="1479" spans="6:13">
      <c r="F1479" s="33"/>
      <c r="G1479" s="33"/>
      <c r="M1479" s="33"/>
    </row>
    <row r="1480" spans="6:13">
      <c r="F1480" s="33"/>
      <c r="G1480" s="33"/>
      <c r="M1480" s="33"/>
    </row>
    <row r="1481" spans="6:13">
      <c r="F1481" s="33"/>
      <c r="G1481" s="33"/>
      <c r="M1481" s="33"/>
    </row>
    <row r="1482" spans="6:13">
      <c r="F1482" s="33"/>
      <c r="G1482" s="33"/>
      <c r="M1482" s="33"/>
    </row>
    <row r="1483" spans="6:13">
      <c r="F1483" s="33"/>
      <c r="G1483" s="33"/>
      <c r="M1483" s="33"/>
    </row>
    <row r="1484" spans="6:13">
      <c r="F1484" s="33"/>
      <c r="G1484" s="33"/>
      <c r="M1484" s="33"/>
    </row>
    <row r="1485" spans="6:13">
      <c r="F1485" s="33"/>
      <c r="G1485" s="33"/>
      <c r="M1485" s="33"/>
    </row>
    <row r="1486" spans="6:13">
      <c r="F1486" s="33"/>
      <c r="G1486" s="33"/>
      <c r="M1486" s="33"/>
    </row>
    <row r="1487" spans="6:13">
      <c r="F1487" s="33"/>
      <c r="G1487" s="33"/>
      <c r="M1487" s="33"/>
    </row>
    <row r="1488" spans="6:13">
      <c r="F1488" s="33"/>
      <c r="G1488" s="33"/>
      <c r="M1488" s="33"/>
    </row>
    <row r="1489" spans="6:13">
      <c r="F1489" s="33"/>
      <c r="G1489" s="33"/>
      <c r="M1489" s="33"/>
    </row>
    <row r="1490" spans="6:13">
      <c r="F1490" s="33"/>
      <c r="G1490" s="33"/>
      <c r="M1490" s="33"/>
    </row>
    <row r="1491" spans="6:13">
      <c r="F1491" s="33"/>
      <c r="G1491" s="33"/>
      <c r="M1491" s="33"/>
    </row>
    <row r="1492" spans="6:13">
      <c r="F1492" s="33"/>
      <c r="G1492" s="33"/>
      <c r="M1492" s="33"/>
    </row>
    <row r="1493" spans="6:13">
      <c r="F1493" s="33"/>
      <c r="G1493" s="33"/>
      <c r="M1493" s="33"/>
    </row>
    <row r="1494" spans="6:13">
      <c r="F1494" s="33"/>
      <c r="G1494" s="33"/>
      <c r="M1494" s="33"/>
    </row>
    <row r="1495" spans="6:13">
      <c r="F1495" s="33"/>
      <c r="G1495" s="33"/>
      <c r="M1495" s="33"/>
    </row>
    <row r="1496" spans="6:13">
      <c r="F1496" s="33"/>
      <c r="G1496" s="33"/>
      <c r="M1496" s="33"/>
    </row>
    <row r="1497" spans="6:13">
      <c r="F1497" s="33"/>
      <c r="G1497" s="33"/>
      <c r="M1497" s="33"/>
    </row>
    <row r="1498" spans="6:13">
      <c r="F1498" s="33"/>
      <c r="G1498" s="33"/>
      <c r="M1498" s="33"/>
    </row>
    <row r="1499" spans="6:13">
      <c r="F1499" s="33"/>
      <c r="G1499" s="33"/>
      <c r="M1499" s="33"/>
    </row>
    <row r="1500" spans="6:13">
      <c r="F1500" s="33"/>
      <c r="G1500" s="33"/>
      <c r="M1500" s="33"/>
    </row>
    <row r="1501" spans="6:13">
      <c r="F1501" s="33"/>
      <c r="G1501" s="33"/>
      <c r="M1501" s="33"/>
    </row>
    <row r="1502" spans="6:13">
      <c r="F1502" s="33"/>
      <c r="G1502" s="33"/>
      <c r="M1502" s="33"/>
    </row>
    <row r="1503" spans="6:13">
      <c r="F1503" s="33"/>
      <c r="G1503" s="33"/>
      <c r="M1503" s="33"/>
    </row>
    <row r="1504" spans="6:13">
      <c r="F1504" s="33"/>
      <c r="G1504" s="33"/>
      <c r="M1504" s="33"/>
    </row>
    <row r="1505" spans="6:13">
      <c r="F1505" s="33"/>
      <c r="G1505" s="33"/>
      <c r="M1505" s="33"/>
    </row>
    <row r="1506" spans="6:13">
      <c r="F1506" s="33"/>
      <c r="G1506" s="33"/>
      <c r="M1506" s="33"/>
    </row>
    <row r="1507" spans="6:13">
      <c r="F1507" s="33"/>
      <c r="G1507" s="33"/>
      <c r="M1507" s="33"/>
    </row>
    <row r="1508" spans="6:13">
      <c r="F1508" s="33"/>
      <c r="G1508" s="33"/>
      <c r="M1508" s="33"/>
    </row>
    <row r="1509" spans="6:13">
      <c r="F1509" s="33"/>
      <c r="G1509" s="33"/>
      <c r="M1509" s="33"/>
    </row>
    <row r="1510" spans="6:13">
      <c r="F1510" s="33"/>
      <c r="G1510" s="33"/>
      <c r="M1510" s="33"/>
    </row>
    <row r="1511" spans="6:13">
      <c r="F1511" s="33"/>
      <c r="G1511" s="33"/>
      <c r="M1511" s="33"/>
    </row>
    <row r="1512" spans="6:13">
      <c r="F1512" s="33"/>
      <c r="G1512" s="33"/>
      <c r="M1512" s="33"/>
    </row>
    <row r="1513" spans="6:13">
      <c r="F1513" s="33"/>
      <c r="G1513" s="33"/>
      <c r="M1513" s="33"/>
    </row>
    <row r="1514" spans="6:13">
      <c r="F1514" s="33"/>
      <c r="G1514" s="33"/>
      <c r="M1514" s="33"/>
    </row>
    <row r="1515" spans="6:13">
      <c r="F1515" s="33"/>
      <c r="G1515" s="33"/>
      <c r="M1515" s="33"/>
    </row>
    <row r="1516" spans="6:13">
      <c r="F1516" s="33"/>
      <c r="G1516" s="33"/>
      <c r="M1516" s="33"/>
    </row>
    <row r="1517" spans="6:13">
      <c r="F1517" s="33"/>
      <c r="G1517" s="33"/>
      <c r="M1517" s="33"/>
    </row>
    <row r="1518" spans="6:13">
      <c r="F1518" s="33"/>
      <c r="G1518" s="33"/>
      <c r="M1518" s="33"/>
    </row>
    <row r="1519" spans="6:13">
      <c r="F1519" s="33"/>
      <c r="G1519" s="33"/>
      <c r="M1519" s="33"/>
    </row>
    <row r="1520" spans="6:13">
      <c r="F1520" s="33"/>
      <c r="G1520" s="33"/>
      <c r="M1520" s="33"/>
    </row>
    <row r="1521" spans="6:13">
      <c r="F1521" s="33"/>
      <c r="G1521" s="33"/>
      <c r="M1521" s="33"/>
    </row>
    <row r="1522" spans="6:13">
      <c r="F1522" s="33"/>
      <c r="G1522" s="33"/>
      <c r="M1522" s="33"/>
    </row>
    <row r="1523" spans="6:13">
      <c r="F1523" s="33"/>
      <c r="G1523" s="33"/>
      <c r="M1523" s="33"/>
    </row>
    <row r="1524" spans="6:13">
      <c r="F1524" s="33"/>
      <c r="G1524" s="33"/>
      <c r="M1524" s="33"/>
    </row>
    <row r="1525" spans="6:13">
      <c r="F1525" s="33"/>
      <c r="G1525" s="33"/>
      <c r="M1525" s="33"/>
    </row>
    <row r="1526" spans="6:13">
      <c r="F1526" s="33"/>
      <c r="G1526" s="33"/>
      <c r="M1526" s="33"/>
    </row>
    <row r="1527" spans="6:13">
      <c r="F1527" s="33"/>
      <c r="G1527" s="33"/>
      <c r="M1527" s="33"/>
    </row>
    <row r="1528" spans="6:13">
      <c r="F1528" s="33"/>
      <c r="G1528" s="33"/>
      <c r="M1528" s="33"/>
    </row>
    <row r="1529" spans="6:13">
      <c r="F1529" s="33"/>
      <c r="G1529" s="33"/>
      <c r="M1529" s="33"/>
    </row>
    <row r="1530" spans="6:13">
      <c r="F1530" s="33"/>
      <c r="G1530" s="33"/>
      <c r="M1530" s="33"/>
    </row>
    <row r="1531" spans="6:13">
      <c r="F1531" s="33"/>
      <c r="G1531" s="33"/>
      <c r="M1531" s="33"/>
    </row>
    <row r="1532" spans="6:13">
      <c r="F1532" s="33"/>
      <c r="G1532" s="33"/>
      <c r="M1532" s="33"/>
    </row>
    <row r="1533" spans="6:13">
      <c r="F1533" s="33"/>
      <c r="G1533" s="33"/>
      <c r="M1533" s="33"/>
    </row>
    <row r="1534" spans="6:13">
      <c r="F1534" s="33"/>
      <c r="G1534" s="33"/>
      <c r="M1534" s="33"/>
    </row>
    <row r="1535" spans="6:13">
      <c r="F1535" s="33"/>
      <c r="G1535" s="33"/>
      <c r="M1535" s="33"/>
    </row>
    <row r="1536" spans="6:13">
      <c r="F1536" s="33"/>
      <c r="G1536" s="33"/>
      <c r="M1536" s="33"/>
    </row>
    <row r="1537" spans="6:13">
      <c r="F1537" s="33"/>
      <c r="G1537" s="33"/>
      <c r="M1537" s="33"/>
    </row>
    <row r="1538" spans="6:13">
      <c r="F1538" s="33"/>
      <c r="G1538" s="33"/>
      <c r="M1538" s="33"/>
    </row>
    <row r="1539" spans="6:13">
      <c r="F1539" s="33"/>
      <c r="G1539" s="33"/>
      <c r="M1539" s="33"/>
    </row>
    <row r="1540" spans="6:13">
      <c r="F1540" s="33"/>
      <c r="G1540" s="33"/>
      <c r="M1540" s="33"/>
    </row>
    <row r="1541" spans="6:13">
      <c r="F1541" s="33"/>
      <c r="G1541" s="33"/>
      <c r="M1541" s="33"/>
    </row>
    <row r="1542" spans="6:13">
      <c r="F1542" s="33"/>
      <c r="G1542" s="33"/>
      <c r="M1542" s="33"/>
    </row>
    <row r="1543" spans="6:13">
      <c r="F1543" s="33"/>
      <c r="G1543" s="33"/>
      <c r="M1543" s="33"/>
    </row>
    <row r="1544" spans="6:13">
      <c r="F1544" s="33"/>
      <c r="G1544" s="33"/>
      <c r="M1544" s="33"/>
    </row>
    <row r="1545" spans="6:13">
      <c r="F1545" s="33"/>
      <c r="G1545" s="33"/>
      <c r="M1545" s="33"/>
    </row>
    <row r="1546" spans="6:13">
      <c r="F1546" s="33"/>
      <c r="G1546" s="33"/>
      <c r="M1546" s="33"/>
    </row>
    <row r="1547" spans="6:13">
      <c r="F1547" s="33"/>
      <c r="G1547" s="33"/>
      <c r="M1547" s="33"/>
    </row>
    <row r="1548" spans="6:13">
      <c r="F1548" s="33"/>
      <c r="G1548" s="33"/>
      <c r="M1548" s="33"/>
    </row>
    <row r="1549" spans="6:13">
      <c r="M1549" s="33"/>
    </row>
    <row r="1550" spans="6:13">
      <c r="M1550" s="33"/>
    </row>
    <row r="1551" spans="6:13">
      <c r="M1551" s="33"/>
    </row>
    <row r="1552" spans="6:13">
      <c r="M1552" s="33"/>
    </row>
    <row r="1553" spans="13:13">
      <c r="M1553" s="33"/>
    </row>
    <row r="1554" spans="13:13">
      <c r="M1554" s="33"/>
    </row>
    <row r="1555" spans="13:13">
      <c r="M1555" s="33"/>
    </row>
    <row r="1556" spans="13:13">
      <c r="M1556" s="33"/>
    </row>
    <row r="1557" spans="13:13">
      <c r="M1557" s="33"/>
    </row>
    <row r="1558" spans="13:13">
      <c r="M1558" s="33"/>
    </row>
    <row r="1559" spans="13:13">
      <c r="M1559" s="33"/>
    </row>
    <row r="1560" spans="13:13">
      <c r="M1560" s="33"/>
    </row>
    <row r="1561" spans="13:13">
      <c r="M1561" s="33"/>
    </row>
    <row r="1562" spans="13:13">
      <c r="M1562" s="33"/>
    </row>
    <row r="1563" spans="13:13">
      <c r="M1563" s="33"/>
    </row>
    <row r="1564" spans="13:13">
      <c r="M1564" s="33"/>
    </row>
    <row r="1565" spans="13:13">
      <c r="M1565" s="34"/>
    </row>
    <row r="1566" spans="13:13">
      <c r="M1566" s="34"/>
    </row>
    <row r="1567" spans="13:13">
      <c r="M1567" s="34"/>
    </row>
    <row r="1568" spans="13:13">
      <c r="M1568" s="34"/>
    </row>
    <row r="1569" spans="13:13">
      <c r="M1569" s="34"/>
    </row>
    <row r="1570" spans="13:13">
      <c r="M1570" s="34"/>
    </row>
    <row r="1571" spans="13:13">
      <c r="M1571" s="34"/>
    </row>
  </sheetData>
  <phoneticPr fontId="0" type="noConversion"/>
  <pageMargins left="0.75" right="0.75" top="1" bottom="1" header="0.5" footer="0.5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494"/>
  <sheetViews>
    <sheetView tabSelected="1" workbookViewId="0">
      <pane xSplit="1" ySplit="3" topLeftCell="AE56" activePane="bottomRight" state="frozen"/>
      <selection pane="topRight" activeCell="B1" sqref="B1"/>
      <selection pane="bottomLeft" activeCell="A4" sqref="A4"/>
      <selection pane="bottomRight" activeCell="AJ57" sqref="AJ57:AJ266"/>
    </sheetView>
  </sheetViews>
  <sheetFormatPr baseColWidth="10" defaultColWidth="8.83203125" defaultRowHeight="12" x14ac:dyDescent="0"/>
  <cols>
    <col min="1" max="2" width="12.6640625" customWidth="1"/>
    <col min="3" max="3" width="10.6640625" customWidth="1"/>
    <col min="4" max="4" width="10.6640625" style="9" customWidth="1"/>
    <col min="5" max="6" width="10.6640625" customWidth="1"/>
    <col min="7" max="7" width="9.6640625" customWidth="1"/>
    <col min="8" max="8" width="10.6640625" customWidth="1"/>
    <col min="9" max="9" width="10.6640625" style="9" customWidth="1"/>
    <col min="10" max="10" width="14.33203125" customWidth="1"/>
    <col min="17" max="20" width="8.83203125" style="9"/>
    <col min="21" max="21" width="10" customWidth="1"/>
    <col min="22" max="22" width="10.33203125" customWidth="1"/>
    <col min="23" max="23" width="10.33203125" style="9" customWidth="1"/>
    <col min="25" max="25" width="8.83203125" style="38"/>
    <col min="26" max="26" width="8.83203125" style="9"/>
    <col min="28" max="28" width="11.5" customWidth="1"/>
    <col min="46" max="46" width="8.83203125" style="9"/>
    <col min="49" max="49" width="11" customWidth="1"/>
    <col min="51" max="54" width="8.83203125" style="9"/>
    <col min="60" max="63" width="8.83203125" style="9"/>
    <col min="74" max="74" width="8.83203125" style="9"/>
  </cols>
  <sheetData>
    <row r="1" spans="1:87" ht="25">
      <c r="A1" s="4" t="s">
        <v>2</v>
      </c>
      <c r="B1" s="4" t="s">
        <v>0</v>
      </c>
      <c r="C1" s="4" t="s">
        <v>8</v>
      </c>
      <c r="D1" s="9" t="s">
        <v>12</v>
      </c>
      <c r="E1" s="9" t="s">
        <v>13</v>
      </c>
      <c r="F1" s="9" t="s">
        <v>14</v>
      </c>
      <c r="G1" s="9" t="s">
        <v>19</v>
      </c>
      <c r="H1" s="32" t="s">
        <v>30</v>
      </c>
      <c r="I1" s="32" t="s">
        <v>27</v>
      </c>
      <c r="J1" s="33" t="s">
        <v>37</v>
      </c>
      <c r="K1" s="33" t="s">
        <v>39</v>
      </c>
      <c r="L1" s="33" t="s">
        <v>41</v>
      </c>
      <c r="M1" s="4" t="s">
        <v>43</v>
      </c>
      <c r="N1" s="4" t="s">
        <v>44</v>
      </c>
      <c r="O1" s="4" t="s">
        <v>48</v>
      </c>
      <c r="P1" s="4" t="s">
        <v>51</v>
      </c>
      <c r="Q1" s="4" t="s">
        <v>52</v>
      </c>
      <c r="R1" s="4" t="s">
        <v>53</v>
      </c>
      <c r="S1" s="4" t="s">
        <v>71</v>
      </c>
      <c r="T1" s="38" t="s">
        <v>74</v>
      </c>
      <c r="U1" s="4" t="s">
        <v>80</v>
      </c>
      <c r="V1" s="4" t="s">
        <v>83</v>
      </c>
      <c r="W1" s="4" t="s">
        <v>86</v>
      </c>
      <c r="X1" s="4" t="s">
        <v>92</v>
      </c>
      <c r="Y1" s="4" t="s">
        <v>121</v>
      </c>
      <c r="Z1" s="4" t="s">
        <v>93</v>
      </c>
      <c r="AA1" s="4" t="s">
        <v>106</v>
      </c>
      <c r="AB1" s="4" t="s">
        <v>109</v>
      </c>
      <c r="AC1" s="4" t="s">
        <v>111</v>
      </c>
      <c r="AD1" s="4" t="s">
        <v>112</v>
      </c>
      <c r="AE1" s="4" t="s">
        <v>115</v>
      </c>
      <c r="AF1" s="4" t="s">
        <v>117</v>
      </c>
      <c r="AG1" s="4" t="s">
        <v>118</v>
      </c>
      <c r="AH1" s="4" t="s">
        <v>120</v>
      </c>
      <c r="AI1" s="4" t="s">
        <v>122</v>
      </c>
      <c r="AJ1" s="4" t="s">
        <v>124</v>
      </c>
      <c r="AK1" s="4"/>
      <c r="AL1" s="4"/>
      <c r="AM1" s="4"/>
      <c r="AN1" s="4"/>
      <c r="AO1" s="4"/>
      <c r="AP1" s="4"/>
      <c r="AQ1" s="4"/>
      <c r="AR1" s="4"/>
      <c r="AS1" s="4"/>
      <c r="AT1" s="4"/>
      <c r="AU1" s="9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L1" s="4"/>
      <c r="BM1" s="4"/>
      <c r="BN1" s="4"/>
      <c r="BO1" s="4"/>
      <c r="BP1" s="4"/>
      <c r="BQ1" s="9"/>
      <c r="BR1" s="4"/>
      <c r="BS1" s="4"/>
      <c r="BT1" s="4"/>
      <c r="BU1" s="4"/>
      <c r="BV1" s="4"/>
      <c r="BW1" s="23"/>
      <c r="BX1" s="4"/>
      <c r="BY1" s="4"/>
      <c r="BZ1" s="4"/>
      <c r="CA1" s="9"/>
      <c r="CB1" s="9"/>
      <c r="CC1" s="4"/>
      <c r="CD1" s="4"/>
      <c r="CE1" s="4"/>
      <c r="CF1" s="4"/>
      <c r="CG1" s="4"/>
      <c r="CH1" s="4"/>
      <c r="CI1" s="4"/>
    </row>
    <row r="2" spans="1:87" ht="229">
      <c r="A2" t="s">
        <v>6</v>
      </c>
      <c r="B2" s="4" t="s">
        <v>1</v>
      </c>
      <c r="C2" s="4" t="s">
        <v>9</v>
      </c>
      <c r="D2" s="4" t="s">
        <v>17</v>
      </c>
      <c r="E2" s="4" t="s">
        <v>16</v>
      </c>
      <c r="F2" s="4" t="s">
        <v>18</v>
      </c>
      <c r="G2" s="4" t="s">
        <v>23</v>
      </c>
      <c r="H2" s="30" t="s">
        <v>28</v>
      </c>
      <c r="I2" s="4" t="s">
        <v>29</v>
      </c>
      <c r="J2" s="4" t="s">
        <v>38</v>
      </c>
      <c r="K2" s="4" t="s">
        <v>40</v>
      </c>
      <c r="L2" s="4" t="s">
        <v>42</v>
      </c>
      <c r="M2" s="4" t="s">
        <v>45</v>
      </c>
      <c r="N2" s="4" t="s">
        <v>46</v>
      </c>
      <c r="O2" s="14" t="s">
        <v>50</v>
      </c>
      <c r="P2" s="4" t="s">
        <v>54</v>
      </c>
      <c r="Q2" s="4" t="s">
        <v>55</v>
      </c>
      <c r="R2" s="4" t="s">
        <v>56</v>
      </c>
      <c r="S2" s="4" t="s">
        <v>72</v>
      </c>
      <c r="T2" s="4" t="s">
        <v>75</v>
      </c>
      <c r="U2" s="11" t="s">
        <v>82</v>
      </c>
      <c r="V2" s="4" t="s">
        <v>84</v>
      </c>
      <c r="W2" s="4" t="s">
        <v>87</v>
      </c>
      <c r="X2" s="4" t="s">
        <v>94</v>
      </c>
      <c r="Y2" s="4" t="s">
        <v>94</v>
      </c>
      <c r="Z2" s="4" t="s">
        <v>95</v>
      </c>
      <c r="AA2" s="4" t="s">
        <v>107</v>
      </c>
      <c r="AB2" s="4" t="s">
        <v>110</v>
      </c>
      <c r="AC2" s="4" t="s">
        <v>113</v>
      </c>
      <c r="AD2" s="4" t="s">
        <v>114</v>
      </c>
      <c r="AE2" s="4" t="s">
        <v>116</v>
      </c>
      <c r="AF2" s="4" t="s">
        <v>114</v>
      </c>
      <c r="AG2" s="4" t="s">
        <v>119</v>
      </c>
      <c r="AH2" s="4" t="s">
        <v>114</v>
      </c>
      <c r="AI2" s="4" t="s">
        <v>123</v>
      </c>
      <c r="AJ2" s="11" t="s">
        <v>125</v>
      </c>
      <c r="AK2" s="4"/>
      <c r="AL2" s="4"/>
      <c r="AM2" s="29"/>
      <c r="AN2" s="29"/>
      <c r="AO2" s="29"/>
      <c r="AP2" s="29"/>
      <c r="AQ2" s="29"/>
      <c r="AR2" s="29"/>
      <c r="AS2" s="4"/>
      <c r="AT2" s="4"/>
      <c r="AU2" s="30"/>
      <c r="AV2" s="4"/>
      <c r="AW2" s="1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</row>
    <row r="3" spans="1:87" s="9" customFormat="1" ht="37">
      <c r="A3" s="9" t="s">
        <v>5</v>
      </c>
      <c r="B3" s="4" t="s">
        <v>7</v>
      </c>
      <c r="C3" s="4" t="s">
        <v>10</v>
      </c>
      <c r="D3" s="4" t="s">
        <v>7</v>
      </c>
      <c r="E3" s="4" t="s">
        <v>7</v>
      </c>
      <c r="F3" s="4" t="s">
        <v>7</v>
      </c>
      <c r="G3" s="4" t="s">
        <v>7</v>
      </c>
      <c r="H3" s="4" t="s">
        <v>31</v>
      </c>
      <c r="I3" s="4" t="s">
        <v>7</v>
      </c>
      <c r="J3" s="4" t="s">
        <v>7</v>
      </c>
      <c r="K3" s="4" t="s">
        <v>7</v>
      </c>
      <c r="L3" s="4" t="s">
        <v>7</v>
      </c>
      <c r="M3" s="4" t="s">
        <v>47</v>
      </c>
      <c r="N3" s="4" t="s">
        <v>47</v>
      </c>
      <c r="O3" s="4" t="s">
        <v>49</v>
      </c>
      <c r="P3" s="4" t="s">
        <v>57</v>
      </c>
      <c r="Q3" s="4" t="s">
        <v>57</v>
      </c>
      <c r="R3" s="4" t="s">
        <v>57</v>
      </c>
      <c r="S3" s="7" t="s">
        <v>73</v>
      </c>
      <c r="T3" s="4" t="s">
        <v>76</v>
      </c>
      <c r="U3" s="4" t="s">
        <v>81</v>
      </c>
      <c r="V3" s="4" t="s">
        <v>85</v>
      </c>
      <c r="W3" s="4" t="s">
        <v>88</v>
      </c>
      <c r="X3" s="29" t="s">
        <v>96</v>
      </c>
      <c r="Y3" s="29"/>
      <c r="Z3" s="29" t="s">
        <v>97</v>
      </c>
      <c r="AA3" s="4" t="s">
        <v>108</v>
      </c>
      <c r="AB3" s="4" t="s">
        <v>108</v>
      </c>
      <c r="AC3" s="4" t="s">
        <v>108</v>
      </c>
      <c r="AD3" s="4" t="s">
        <v>108</v>
      </c>
      <c r="AE3" s="4" t="s">
        <v>108</v>
      </c>
      <c r="AF3" s="4" t="s">
        <v>108</v>
      </c>
      <c r="AG3" s="4" t="s">
        <v>108</v>
      </c>
      <c r="AH3" s="4" t="s">
        <v>108</v>
      </c>
      <c r="AI3" s="4" t="s">
        <v>126</v>
      </c>
      <c r="AJ3" s="11" t="s">
        <v>126</v>
      </c>
      <c r="AK3" s="4"/>
      <c r="AL3" s="4"/>
      <c r="AM3" s="29"/>
      <c r="AN3" s="29"/>
      <c r="AO3" s="29"/>
      <c r="AP3" s="29"/>
      <c r="AQ3" s="29"/>
      <c r="AR3" s="29"/>
      <c r="AS3" s="4"/>
      <c r="AT3" s="4"/>
      <c r="AU3" s="30"/>
      <c r="AV3" s="4"/>
      <c r="AW3" s="1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</row>
    <row r="4" spans="1:87">
      <c r="A4" s="13">
        <v>17168</v>
      </c>
      <c r="B4" s="12">
        <v>1932.6</v>
      </c>
      <c r="C4" s="9">
        <v>0</v>
      </c>
      <c r="D4" s="24">
        <v>1698</v>
      </c>
      <c r="E4" s="12">
        <v>12.577999999999999</v>
      </c>
      <c r="F4" s="12">
        <v>11.788</v>
      </c>
      <c r="G4" s="12">
        <v>48.341999999999999</v>
      </c>
      <c r="H4" s="34">
        <v>9</v>
      </c>
      <c r="I4" s="34">
        <v>240.3</v>
      </c>
      <c r="J4" s="35">
        <v>13.04</v>
      </c>
      <c r="K4" s="35">
        <v>24.384</v>
      </c>
      <c r="L4" s="35">
        <v>35.679000000000002</v>
      </c>
      <c r="M4" s="12"/>
      <c r="N4" s="12"/>
      <c r="P4" s="24">
        <v>0</v>
      </c>
      <c r="Q4" s="24">
        <v>0</v>
      </c>
      <c r="R4" s="33">
        <v>1</v>
      </c>
      <c r="S4" s="25"/>
      <c r="T4" s="1"/>
      <c r="U4">
        <v>0</v>
      </c>
      <c r="V4" s="9"/>
      <c r="W4" s="38">
        <v>0</v>
      </c>
      <c r="X4" s="38"/>
      <c r="Z4" s="38"/>
      <c r="AA4" s="9"/>
      <c r="AB4" s="9"/>
      <c r="AC4" s="9"/>
      <c r="AD4" s="9"/>
      <c r="AE4" s="9"/>
      <c r="AF4" s="9"/>
      <c r="AG4" s="9"/>
      <c r="AH4" s="9"/>
      <c r="AI4" s="9"/>
      <c r="AM4" s="9"/>
      <c r="AN4" s="9"/>
      <c r="AO4" s="9"/>
      <c r="AP4" s="9"/>
      <c r="AQ4" s="9"/>
      <c r="AR4" s="9"/>
      <c r="AS4" s="9"/>
      <c r="AU4" s="9"/>
      <c r="BQ4" s="9"/>
    </row>
    <row r="5" spans="1:87">
      <c r="A5" s="13">
        <v>17258</v>
      </c>
      <c r="B5" s="12">
        <v>1930.412</v>
      </c>
      <c r="C5" s="9">
        <v>0</v>
      </c>
      <c r="D5" s="24">
        <v>1713</v>
      </c>
      <c r="E5" s="12">
        <v>12.757</v>
      </c>
      <c r="F5" s="12">
        <v>12.063000000000001</v>
      </c>
      <c r="G5" s="12">
        <v>48.345999999999997</v>
      </c>
      <c r="H5" s="34">
        <v>12.6</v>
      </c>
      <c r="I5" s="34">
        <v>243.6</v>
      </c>
      <c r="J5" s="35">
        <v>13.144</v>
      </c>
      <c r="K5" s="35">
        <v>24.951000000000001</v>
      </c>
      <c r="L5" s="35">
        <v>35.976999999999997</v>
      </c>
      <c r="M5" s="5">
        <v>0.1208312467348478</v>
      </c>
      <c r="N5" s="5">
        <v>-0.77026061564438331</v>
      </c>
      <c r="O5" s="5"/>
      <c r="P5" s="24">
        <v>0</v>
      </c>
      <c r="Q5" s="24">
        <v>0</v>
      </c>
      <c r="R5" s="33">
        <v>1</v>
      </c>
      <c r="S5" s="25"/>
      <c r="T5" s="1"/>
      <c r="U5">
        <v>3.2890596250047824E-2</v>
      </c>
      <c r="V5" s="9">
        <v>-0.207285</v>
      </c>
      <c r="W5" s="38">
        <v>0</v>
      </c>
      <c r="X5" s="38"/>
      <c r="Z5" s="38"/>
      <c r="AA5" s="9"/>
      <c r="AB5" s="9"/>
      <c r="AC5" s="9"/>
      <c r="AD5" s="9"/>
      <c r="AE5" s="9"/>
      <c r="AF5" s="9"/>
      <c r="AG5" s="9"/>
      <c r="AH5" s="9"/>
      <c r="AI5" s="9"/>
      <c r="AK5" s="9"/>
      <c r="AM5" s="9"/>
      <c r="AN5" s="9"/>
      <c r="AO5" s="9"/>
      <c r="AP5" s="9"/>
      <c r="AQ5" s="9"/>
      <c r="AR5" s="9"/>
      <c r="AS5" s="9"/>
      <c r="AU5" s="9"/>
      <c r="AV5" s="9"/>
      <c r="BQ5" s="9"/>
    </row>
    <row r="6" spans="1:87">
      <c r="A6" s="13">
        <v>17349</v>
      </c>
      <c r="B6" s="12">
        <v>1928.4480000000001</v>
      </c>
      <c r="C6" s="9">
        <v>0</v>
      </c>
      <c r="D6" s="24">
        <v>1731</v>
      </c>
      <c r="E6" s="12">
        <v>12.97</v>
      </c>
      <c r="F6" s="12">
        <v>11.739000000000001</v>
      </c>
      <c r="G6" s="12">
        <v>48.476999999999997</v>
      </c>
      <c r="H6" s="34">
        <v>12.8</v>
      </c>
      <c r="I6" s="34">
        <v>248</v>
      </c>
      <c r="J6" s="35">
        <v>13.388999999999999</v>
      </c>
      <c r="K6" s="35">
        <v>24.216000000000001</v>
      </c>
      <c r="L6" s="35">
        <v>36.246000000000002</v>
      </c>
      <c r="M6" s="5">
        <v>-3.301510188165881</v>
      </c>
      <c r="N6" s="5">
        <v>-4.154448484323745</v>
      </c>
      <c r="O6" s="5"/>
      <c r="P6" s="24">
        <v>0</v>
      </c>
      <c r="Q6" s="24">
        <v>0</v>
      </c>
      <c r="R6" s="33">
        <v>1</v>
      </c>
      <c r="S6" s="25"/>
      <c r="T6" s="1"/>
      <c r="U6">
        <v>0</v>
      </c>
      <c r="V6" s="9">
        <v>0.175457</v>
      </c>
      <c r="W6" s="38">
        <v>0</v>
      </c>
      <c r="X6" s="38"/>
      <c r="Z6" s="38"/>
      <c r="AA6" s="9"/>
      <c r="AB6" s="9"/>
      <c r="AC6" s="9"/>
      <c r="AD6" s="9"/>
      <c r="AE6" s="9"/>
      <c r="AF6" s="9"/>
      <c r="AG6" s="9"/>
      <c r="AH6" s="9"/>
      <c r="AI6" s="9"/>
      <c r="AK6" s="9"/>
      <c r="AM6" s="9"/>
      <c r="AN6" s="9"/>
      <c r="AO6" s="9"/>
      <c r="AP6" s="9"/>
      <c r="AQ6" s="9"/>
      <c r="AR6" s="9"/>
      <c r="AS6" s="9"/>
      <c r="AU6" s="9"/>
      <c r="AV6" s="9"/>
      <c r="BQ6" s="9"/>
    </row>
    <row r="7" spans="1:87">
      <c r="A7" s="13">
        <v>17441</v>
      </c>
      <c r="B7" s="12">
        <v>1958.807</v>
      </c>
      <c r="C7" s="9">
        <v>0</v>
      </c>
      <c r="D7" s="24">
        <v>1794</v>
      </c>
      <c r="E7" s="12">
        <v>13.289</v>
      </c>
      <c r="F7" s="12">
        <v>12.35</v>
      </c>
      <c r="G7" s="12">
        <v>48.95</v>
      </c>
      <c r="H7" s="34">
        <v>13.2</v>
      </c>
      <c r="I7" s="34">
        <v>256.5</v>
      </c>
      <c r="J7" s="35">
        <v>13.723000000000001</v>
      </c>
      <c r="K7" s="35">
        <v>25.23</v>
      </c>
      <c r="L7" s="35">
        <v>36.08</v>
      </c>
      <c r="M7" s="5">
        <v>3.1451311088802107</v>
      </c>
      <c r="N7" s="5">
        <v>3.1044467936707818</v>
      </c>
      <c r="O7" s="5"/>
      <c r="P7" s="24">
        <v>0</v>
      </c>
      <c r="Q7" s="24">
        <v>0</v>
      </c>
      <c r="R7" s="33">
        <v>1</v>
      </c>
      <c r="S7" s="25"/>
      <c r="T7" s="1"/>
      <c r="U7">
        <v>0</v>
      </c>
      <c r="V7" s="9">
        <v>-1.5517999999999997E-2</v>
      </c>
      <c r="W7" s="38">
        <v>0</v>
      </c>
      <c r="X7" s="38"/>
      <c r="Z7" s="38"/>
      <c r="AA7" s="9"/>
      <c r="AB7" s="9"/>
      <c r="AC7" s="9"/>
      <c r="AD7" s="9"/>
      <c r="AE7" s="9"/>
      <c r="AF7" s="9"/>
      <c r="AG7" s="9"/>
      <c r="AH7" s="9"/>
      <c r="AI7" s="9"/>
      <c r="AK7" s="9"/>
      <c r="AM7" s="9"/>
      <c r="AN7" s="9"/>
      <c r="AO7" s="9"/>
      <c r="AP7" s="9"/>
      <c r="AQ7" s="9"/>
      <c r="AR7" s="9"/>
      <c r="AS7" s="9"/>
      <c r="AU7" s="9"/>
      <c r="AV7" s="9"/>
      <c r="BQ7" s="9"/>
      <c r="CH7" s="9"/>
      <c r="CI7" s="9"/>
    </row>
    <row r="8" spans="1:87">
      <c r="A8" s="13">
        <v>17533</v>
      </c>
      <c r="B8" s="12">
        <v>1987.606</v>
      </c>
      <c r="C8" s="9">
        <v>0</v>
      </c>
      <c r="D8" s="24">
        <v>1826</v>
      </c>
      <c r="E8" s="12">
        <v>13.391999999999999</v>
      </c>
      <c r="F8" s="12">
        <v>12.477</v>
      </c>
      <c r="G8" s="12">
        <v>49.262</v>
      </c>
      <c r="H8" s="34">
        <v>16.600000000000001</v>
      </c>
      <c r="I8" s="34">
        <v>265.5</v>
      </c>
      <c r="J8" s="35">
        <v>13.875</v>
      </c>
      <c r="K8" s="35">
        <v>25.327999999999999</v>
      </c>
      <c r="L8" s="35">
        <v>36.173000000000002</v>
      </c>
      <c r="M8" s="5">
        <v>9.5519299719579802</v>
      </c>
      <c r="N8" s="5">
        <v>11.196198648528034</v>
      </c>
      <c r="O8" s="5"/>
      <c r="P8" s="24">
        <v>0</v>
      </c>
      <c r="Q8" s="24">
        <v>0</v>
      </c>
      <c r="R8" s="33">
        <v>1</v>
      </c>
      <c r="S8" s="25"/>
      <c r="T8" s="1"/>
      <c r="U8">
        <v>7.0775358124688303E-3</v>
      </c>
      <c r="V8" s="9">
        <v>0.254888</v>
      </c>
      <c r="W8" s="38">
        <v>0</v>
      </c>
      <c r="X8" s="38"/>
      <c r="Z8" s="38"/>
      <c r="AA8" s="9"/>
      <c r="AB8" s="9"/>
      <c r="AC8" s="9"/>
      <c r="AD8" s="9"/>
      <c r="AE8" s="9"/>
      <c r="AF8" s="9"/>
      <c r="AG8" s="9"/>
      <c r="AH8" s="9"/>
      <c r="AI8" s="9"/>
      <c r="AK8" s="9"/>
      <c r="AM8" s="9"/>
      <c r="AN8" s="9"/>
      <c r="AO8" s="9"/>
      <c r="AP8" s="9"/>
      <c r="AQ8" s="9"/>
      <c r="AR8" s="9"/>
      <c r="AS8" s="9"/>
      <c r="AU8" s="9"/>
      <c r="AV8" s="9"/>
      <c r="BQ8" s="9"/>
      <c r="CH8" s="9"/>
      <c r="CI8" s="9"/>
    </row>
    <row r="9" spans="1:87">
      <c r="A9" s="13">
        <v>17624</v>
      </c>
      <c r="B9" s="12">
        <v>2019.8889999999999</v>
      </c>
      <c r="C9" s="9">
        <v>0</v>
      </c>
      <c r="D9" s="24">
        <v>1865</v>
      </c>
      <c r="E9" s="12">
        <v>13.51</v>
      </c>
      <c r="F9" s="12">
        <v>12.439</v>
      </c>
      <c r="G9" s="12">
        <v>49.235999999999997</v>
      </c>
      <c r="H9" s="34">
        <v>17.7</v>
      </c>
      <c r="I9" s="34">
        <v>274</v>
      </c>
      <c r="J9" s="35">
        <v>14.018000000000001</v>
      </c>
      <c r="K9" s="35">
        <v>25.263999999999999</v>
      </c>
      <c r="L9" s="35">
        <v>36.093000000000004</v>
      </c>
      <c r="M9" s="5">
        <v>7.9345597462082909</v>
      </c>
      <c r="N9" s="5">
        <v>11.782758075246116</v>
      </c>
      <c r="O9" s="5"/>
      <c r="P9" s="24">
        <v>0</v>
      </c>
      <c r="Q9" s="24">
        <v>0</v>
      </c>
      <c r="R9" s="33">
        <v>1</v>
      </c>
      <c r="S9" s="25"/>
      <c r="T9" s="1"/>
      <c r="U9">
        <v>1.3446086632506127E-2</v>
      </c>
      <c r="V9" s="9">
        <v>-4.5879000000000003E-2</v>
      </c>
      <c r="W9" s="38">
        <v>-1.870557426</v>
      </c>
      <c r="X9" s="38"/>
      <c r="Z9" s="38"/>
      <c r="AA9" s="9"/>
      <c r="AB9" s="9"/>
      <c r="AC9" s="9"/>
      <c r="AD9" s="9"/>
      <c r="AE9" s="9"/>
      <c r="AF9" s="9"/>
      <c r="AG9" s="9"/>
      <c r="AH9" s="9"/>
      <c r="AI9" s="9"/>
      <c r="AK9" s="9"/>
      <c r="AM9" s="9"/>
      <c r="AN9" s="9"/>
      <c r="AO9" s="9"/>
      <c r="AP9" s="9"/>
      <c r="AQ9" s="9"/>
      <c r="AR9" s="9"/>
      <c r="AS9" s="9"/>
      <c r="AU9" s="9"/>
      <c r="AV9" s="9"/>
      <c r="BQ9" s="9"/>
      <c r="CH9" s="9"/>
      <c r="CI9" s="9"/>
    </row>
    <row r="10" spans="1:87">
      <c r="A10" s="13">
        <v>17715</v>
      </c>
      <c r="B10" s="12">
        <v>2031.1790000000001</v>
      </c>
      <c r="C10" s="9">
        <v>0</v>
      </c>
      <c r="D10" s="24">
        <v>1902</v>
      </c>
      <c r="E10" s="12">
        <v>13.76</v>
      </c>
      <c r="F10" s="12">
        <v>12.545</v>
      </c>
      <c r="G10" s="12">
        <v>49.585999999999999</v>
      </c>
      <c r="H10" s="34">
        <v>17.3</v>
      </c>
      <c r="I10" s="34">
        <v>279.3</v>
      </c>
      <c r="J10" s="35">
        <v>14.233000000000001</v>
      </c>
      <c r="K10" s="35">
        <v>25.298999999999999</v>
      </c>
      <c r="L10" s="35">
        <v>36.216000000000001</v>
      </c>
      <c r="M10" s="5">
        <v>-3.6040514859931654</v>
      </c>
      <c r="N10" s="5">
        <v>2.2021420596775454</v>
      </c>
      <c r="O10" s="5"/>
      <c r="P10" s="24">
        <v>0</v>
      </c>
      <c r="Q10" s="24">
        <v>0</v>
      </c>
      <c r="R10" s="33">
        <v>1</v>
      </c>
      <c r="S10" s="25"/>
      <c r="T10" s="1"/>
      <c r="U10">
        <v>0</v>
      </c>
      <c r="V10" s="9">
        <v>-2.1233000000000002E-2</v>
      </c>
      <c r="W10" s="38">
        <v>0</v>
      </c>
      <c r="X10" s="38"/>
      <c r="Z10" s="38"/>
      <c r="AA10" s="9"/>
      <c r="AB10" s="9"/>
      <c r="AC10" s="9"/>
      <c r="AD10" s="9"/>
      <c r="AE10" s="9"/>
      <c r="AF10" s="9"/>
      <c r="AG10" s="9"/>
      <c r="AH10" s="9"/>
      <c r="AI10" s="9"/>
      <c r="AK10" s="9"/>
      <c r="AM10" s="9"/>
      <c r="AN10" s="9"/>
      <c r="AO10" s="9"/>
      <c r="AP10" s="9"/>
      <c r="AQ10" s="9"/>
      <c r="AR10" s="9"/>
      <c r="AS10" s="9"/>
      <c r="AU10" s="9"/>
      <c r="AV10" s="9"/>
      <c r="BQ10" s="9"/>
      <c r="CH10" s="9"/>
      <c r="CI10" s="9"/>
    </row>
    <row r="11" spans="1:87">
      <c r="A11" s="13">
        <v>17807</v>
      </c>
      <c r="B11" s="12">
        <v>2033.347</v>
      </c>
      <c r="C11" s="9">
        <v>1</v>
      </c>
      <c r="D11" s="24">
        <v>1901</v>
      </c>
      <c r="E11" s="12">
        <v>13.803000000000001</v>
      </c>
      <c r="F11" s="12">
        <v>12.478</v>
      </c>
      <c r="G11" s="12">
        <v>49.127000000000002</v>
      </c>
      <c r="H11" s="34">
        <v>19.2</v>
      </c>
      <c r="I11" s="34">
        <v>281.5</v>
      </c>
      <c r="J11" s="35">
        <v>14.186999999999999</v>
      </c>
      <c r="K11" s="35">
        <v>25.4</v>
      </c>
      <c r="L11" s="35">
        <v>36.905000000000001</v>
      </c>
      <c r="M11" s="5">
        <v>0.54648169877423625</v>
      </c>
      <c r="N11" s="5">
        <v>7.1514547824120669</v>
      </c>
      <c r="O11" s="5"/>
      <c r="P11" s="24">
        <v>0</v>
      </c>
      <c r="Q11" s="24">
        <v>0</v>
      </c>
      <c r="R11" s="33">
        <v>1</v>
      </c>
      <c r="S11" s="25"/>
      <c r="T11" s="1"/>
      <c r="U11">
        <v>0</v>
      </c>
      <c r="V11" s="9">
        <v>-0.131193</v>
      </c>
      <c r="W11" s="38">
        <v>0</v>
      </c>
      <c r="X11" s="38"/>
      <c r="Z11" s="38"/>
      <c r="AA11" s="9"/>
      <c r="AB11" s="9"/>
      <c r="AC11" s="9"/>
      <c r="AD11" s="9"/>
      <c r="AE11" s="9"/>
      <c r="AF11" s="9"/>
      <c r="AG11" s="9"/>
      <c r="AH11" s="9"/>
      <c r="AI11" s="9"/>
      <c r="AK11" s="9"/>
      <c r="AM11" s="9"/>
      <c r="AN11" s="9"/>
      <c r="AO11" s="9"/>
      <c r="AP11" s="9"/>
      <c r="AQ11" s="9"/>
      <c r="AR11" s="9"/>
      <c r="AS11" s="9"/>
      <c r="AU11" s="9"/>
      <c r="AV11" s="9"/>
      <c r="BQ11" s="9"/>
      <c r="CH11" s="9"/>
      <c r="CI11" s="9"/>
    </row>
    <row r="12" spans="1:87">
      <c r="A12" s="13">
        <v>17899</v>
      </c>
      <c r="B12" s="12">
        <v>2005.5630000000001</v>
      </c>
      <c r="C12" s="9">
        <v>1</v>
      </c>
      <c r="D12" s="24">
        <v>1857</v>
      </c>
      <c r="E12" s="12">
        <v>13.73</v>
      </c>
      <c r="F12" s="12">
        <v>12.388</v>
      </c>
      <c r="G12" s="12">
        <v>48.298999999999999</v>
      </c>
      <c r="H12" s="34">
        <v>18.7</v>
      </c>
      <c r="I12" s="34">
        <v>274.5</v>
      </c>
      <c r="J12" s="35">
        <v>14.076000000000001</v>
      </c>
      <c r="K12" s="35">
        <v>25.648</v>
      </c>
      <c r="L12" s="35">
        <v>37.494</v>
      </c>
      <c r="M12" s="5">
        <v>-6.0758345435110783</v>
      </c>
      <c r="N12" s="5">
        <v>-0.49701443066102602</v>
      </c>
      <c r="O12" s="5"/>
      <c r="P12" s="24">
        <v>0</v>
      </c>
      <c r="Q12" s="24">
        <v>0</v>
      </c>
      <c r="R12" s="33">
        <v>1</v>
      </c>
      <c r="S12" s="25"/>
      <c r="T12" s="1"/>
      <c r="U12">
        <v>0</v>
      </c>
      <c r="V12" s="9">
        <v>0.109475</v>
      </c>
      <c r="W12" s="38">
        <v>0</v>
      </c>
      <c r="X12" s="38"/>
      <c r="Z12" s="38"/>
      <c r="AA12" s="9"/>
      <c r="AB12" s="9"/>
      <c r="AC12" s="9"/>
      <c r="AD12" s="9"/>
      <c r="AE12" s="9"/>
      <c r="AF12" s="9"/>
      <c r="AG12" s="9"/>
      <c r="AH12" s="9"/>
      <c r="AI12" s="9"/>
      <c r="AK12" s="9"/>
      <c r="AM12" s="9"/>
      <c r="AN12" s="9"/>
      <c r="AO12" s="9"/>
      <c r="AP12" s="9"/>
      <c r="AQ12" s="9"/>
      <c r="AR12" s="9"/>
      <c r="AS12" s="9"/>
      <c r="AU12" s="9"/>
      <c r="AV12" s="9"/>
      <c r="BQ12" s="9"/>
      <c r="CH12" s="9"/>
      <c r="CI12" s="9"/>
    </row>
    <row r="13" spans="1:87">
      <c r="A13" s="13">
        <v>17989</v>
      </c>
      <c r="B13" s="12">
        <v>1998.835</v>
      </c>
      <c r="C13" s="9">
        <v>1</v>
      </c>
      <c r="D13" s="24">
        <v>1825</v>
      </c>
      <c r="E13" s="12">
        <v>13.593</v>
      </c>
      <c r="F13" s="12">
        <v>12.308999999999999</v>
      </c>
      <c r="G13" s="12">
        <v>47.491</v>
      </c>
      <c r="H13" s="34">
        <v>17.8</v>
      </c>
      <c r="I13" s="34">
        <v>271</v>
      </c>
      <c r="J13" s="35">
        <v>13.99</v>
      </c>
      <c r="K13" s="35">
        <v>25.917999999999999</v>
      </c>
      <c r="L13" s="35">
        <v>37.621000000000002</v>
      </c>
      <c r="M13" s="5">
        <v>-0.48147615997097482</v>
      </c>
      <c r="N13" s="5">
        <v>2.1863682284070358</v>
      </c>
      <c r="O13" s="5"/>
      <c r="P13" s="6">
        <v>1</v>
      </c>
      <c r="Q13" s="6">
        <v>1</v>
      </c>
      <c r="R13" s="33">
        <v>1</v>
      </c>
      <c r="S13" s="5"/>
      <c r="T13" s="6"/>
      <c r="U13">
        <v>0</v>
      </c>
      <c r="V13" s="9">
        <v>-0.124473</v>
      </c>
      <c r="W13" s="38">
        <v>0</v>
      </c>
      <c r="X13" s="38"/>
      <c r="Z13" s="38"/>
      <c r="AA13" s="9"/>
      <c r="AB13" s="9"/>
      <c r="AC13" s="38">
        <v>3.7190063949081198E-2</v>
      </c>
      <c r="AD13" s="38">
        <v>1</v>
      </c>
      <c r="AE13" s="9"/>
      <c r="AF13" s="9"/>
      <c r="AG13" s="9"/>
      <c r="AH13" s="9"/>
      <c r="AI13" s="9"/>
      <c r="AK13" s="9"/>
      <c r="AM13" s="9"/>
      <c r="AN13" s="9"/>
      <c r="AO13" s="9"/>
      <c r="AP13" s="9"/>
      <c r="AQ13" s="9"/>
      <c r="AR13" s="9"/>
      <c r="AS13" s="9"/>
      <c r="AU13" s="9"/>
      <c r="AV13" s="9"/>
      <c r="BQ13" s="9"/>
      <c r="CH13" s="9"/>
      <c r="CI13" s="9"/>
    </row>
    <row r="14" spans="1:87">
      <c r="A14" s="13">
        <v>18080</v>
      </c>
      <c r="B14" s="12">
        <v>2020.825</v>
      </c>
      <c r="C14" s="9">
        <v>1</v>
      </c>
      <c r="D14" s="24">
        <v>1827</v>
      </c>
      <c r="E14" s="12">
        <v>13.522</v>
      </c>
      <c r="F14" s="12">
        <v>12.472</v>
      </c>
      <c r="G14" s="12">
        <v>46.993000000000002</v>
      </c>
      <c r="H14" s="34">
        <v>18.7</v>
      </c>
      <c r="I14" s="34">
        <v>271.2</v>
      </c>
      <c r="J14" s="35">
        <v>13.909000000000001</v>
      </c>
      <c r="K14" s="35">
        <v>26.54</v>
      </c>
      <c r="L14" s="35">
        <v>38.018000000000001</v>
      </c>
      <c r="M14" s="5">
        <v>6.8761720718105286</v>
      </c>
      <c r="N14" s="5">
        <v>5.4352330534871527</v>
      </c>
      <c r="O14" s="5"/>
      <c r="P14" s="6">
        <v>1</v>
      </c>
      <c r="Q14" s="6">
        <v>1</v>
      </c>
      <c r="R14" s="33">
        <v>1</v>
      </c>
      <c r="S14" s="5"/>
      <c r="T14" s="6"/>
      <c r="U14">
        <v>0</v>
      </c>
      <c r="V14" s="9">
        <v>1.4710999999999998E-2</v>
      </c>
      <c r="W14" s="38">
        <v>0</v>
      </c>
      <c r="X14" s="38"/>
      <c r="Z14" s="38"/>
      <c r="AA14" s="9"/>
      <c r="AB14" s="9"/>
      <c r="AC14" s="38">
        <v>6.3303147592996378E-2</v>
      </c>
      <c r="AD14" s="38">
        <v>1</v>
      </c>
      <c r="AE14" s="9"/>
      <c r="AF14" s="9"/>
      <c r="AG14" s="9"/>
      <c r="AH14" s="9"/>
      <c r="AI14" s="9"/>
      <c r="AK14" s="9"/>
      <c r="AM14" s="9"/>
      <c r="AN14" s="9"/>
      <c r="AO14" s="9"/>
      <c r="AP14" s="9"/>
      <c r="AQ14" s="9"/>
      <c r="AR14" s="9"/>
      <c r="AS14" s="9"/>
      <c r="AU14" s="9"/>
      <c r="AV14" s="9"/>
      <c r="BQ14" s="9"/>
      <c r="CH14" s="9"/>
      <c r="CI14" s="9"/>
    </row>
    <row r="15" spans="1:87">
      <c r="A15" s="13">
        <v>18172</v>
      </c>
      <c r="B15" s="12">
        <v>2002.702</v>
      </c>
      <c r="C15" s="9">
        <v>1</v>
      </c>
      <c r="D15" s="24">
        <v>1804</v>
      </c>
      <c r="E15" s="12">
        <v>13.531000000000001</v>
      </c>
      <c r="F15" s="12">
        <v>12.356</v>
      </c>
      <c r="G15" s="12">
        <v>46.805</v>
      </c>
      <c r="H15" s="34">
        <v>15.7</v>
      </c>
      <c r="I15" s="34">
        <v>267.60000000000002</v>
      </c>
      <c r="J15" s="35">
        <v>13.898999999999999</v>
      </c>
      <c r="K15" s="35">
        <v>26.399000000000001</v>
      </c>
      <c r="L15" s="35">
        <v>37.985999999999997</v>
      </c>
      <c r="M15" s="5">
        <v>-2.7610960404815512</v>
      </c>
      <c r="N15" s="5">
        <v>-8.2512418980106439</v>
      </c>
      <c r="O15" s="5"/>
      <c r="P15" s="6">
        <v>1</v>
      </c>
      <c r="Q15" s="6">
        <v>1</v>
      </c>
      <c r="R15" s="33">
        <v>1</v>
      </c>
      <c r="S15" s="5"/>
      <c r="T15" s="6"/>
      <c r="U15">
        <v>-7.4729742036405422E-3</v>
      </c>
      <c r="V15" s="9">
        <v>6.3775999999999999E-2</v>
      </c>
      <c r="W15" s="38">
        <v>0</v>
      </c>
      <c r="X15" s="38"/>
      <c r="Z15" s="38"/>
      <c r="AA15" s="9"/>
      <c r="AB15" s="9"/>
      <c r="AC15" s="38">
        <v>5.4063842155877451E-2</v>
      </c>
      <c r="AD15" s="38">
        <v>1</v>
      </c>
      <c r="AE15" s="9"/>
      <c r="AF15" s="9"/>
      <c r="AG15" s="9"/>
      <c r="AH15" s="9"/>
      <c r="AI15" s="9"/>
      <c r="AK15" s="9"/>
      <c r="AM15" s="9"/>
      <c r="AN15" s="9"/>
      <c r="AO15" s="9"/>
      <c r="AP15" s="9"/>
      <c r="AQ15" s="9"/>
      <c r="AR15" s="9"/>
      <c r="AS15" s="9"/>
      <c r="AU15" s="9"/>
      <c r="AV15" s="9"/>
      <c r="BQ15" s="9"/>
      <c r="CH15" s="9"/>
      <c r="CI15" s="9"/>
    </row>
    <row r="16" spans="1:87">
      <c r="A16" s="13">
        <v>18264</v>
      </c>
      <c r="B16" s="12">
        <v>2082.538</v>
      </c>
      <c r="C16" s="9">
        <v>0</v>
      </c>
      <c r="D16" s="24">
        <v>1864</v>
      </c>
      <c r="E16" s="12">
        <v>13.503</v>
      </c>
      <c r="F16" s="12">
        <v>12.882999999999999</v>
      </c>
      <c r="G16" s="12">
        <v>47.167000000000002</v>
      </c>
      <c r="H16" s="34">
        <v>15.3</v>
      </c>
      <c r="I16" s="34">
        <v>277.89999999999998</v>
      </c>
      <c r="J16" s="35">
        <v>13.875999999999999</v>
      </c>
      <c r="K16" s="35">
        <v>27.312999999999999</v>
      </c>
      <c r="L16" s="35">
        <v>39.091999999999999</v>
      </c>
      <c r="M16" s="5">
        <v>16.941800840585827</v>
      </c>
      <c r="N16" s="5">
        <v>8.8339792655929923</v>
      </c>
      <c r="O16" s="5"/>
      <c r="P16" s="6">
        <v>1</v>
      </c>
      <c r="Q16" s="6">
        <v>1</v>
      </c>
      <c r="R16" s="33">
        <v>1</v>
      </c>
      <c r="S16" s="5"/>
      <c r="T16" s="6"/>
      <c r="U16">
        <v>0</v>
      </c>
      <c r="V16" s="9">
        <v>3.6018999999999995E-2</v>
      </c>
      <c r="W16" s="38">
        <v>0.27252906999999998</v>
      </c>
      <c r="X16" s="38"/>
      <c r="Z16" s="38"/>
      <c r="AA16" s="9"/>
      <c r="AB16" s="9"/>
      <c r="AC16" s="38">
        <v>0.10830019117792022</v>
      </c>
      <c r="AD16" s="38">
        <v>1</v>
      </c>
      <c r="AE16" s="9"/>
      <c r="AF16" s="9"/>
      <c r="AG16" s="9"/>
      <c r="AH16" s="9"/>
      <c r="AI16" s="9"/>
      <c r="AK16" s="9"/>
      <c r="AM16" s="9"/>
      <c r="AN16" s="9"/>
      <c r="AO16" s="9"/>
      <c r="AP16" s="9"/>
      <c r="AQ16" s="9"/>
      <c r="AR16" s="9"/>
      <c r="AS16" s="9"/>
      <c r="AU16" s="9"/>
      <c r="AV16" s="9"/>
      <c r="BO16" s="20"/>
      <c r="BP16" s="20"/>
      <c r="BQ16" s="9"/>
      <c r="CH16" s="9"/>
      <c r="CI16" s="9"/>
    </row>
    <row r="17" spans="1:87">
      <c r="A17" s="13">
        <v>18354</v>
      </c>
      <c r="B17" s="12">
        <v>2145.5149999999999</v>
      </c>
      <c r="C17" s="9">
        <v>0</v>
      </c>
      <c r="D17" s="24">
        <v>1921</v>
      </c>
      <c r="E17" s="12">
        <v>13.551</v>
      </c>
      <c r="F17" s="12">
        <v>13.35</v>
      </c>
      <c r="G17" s="12">
        <v>48.332000000000001</v>
      </c>
      <c r="H17" s="34">
        <v>16.5</v>
      </c>
      <c r="I17" s="34">
        <v>290.3</v>
      </c>
      <c r="J17" s="35">
        <v>13.943</v>
      </c>
      <c r="K17" s="35">
        <v>27.622</v>
      </c>
      <c r="L17" s="35">
        <v>39.634999999999998</v>
      </c>
      <c r="M17" s="5">
        <v>8.1056463777312295</v>
      </c>
      <c r="N17" s="5">
        <v>-0.62376160447928974</v>
      </c>
      <c r="O17" s="5"/>
      <c r="P17" s="6">
        <v>1</v>
      </c>
      <c r="Q17" s="6">
        <v>1</v>
      </c>
      <c r="R17" s="33">
        <v>1</v>
      </c>
      <c r="S17" s="5"/>
      <c r="T17" s="6"/>
      <c r="U17">
        <v>2.7979226187625498E-2</v>
      </c>
      <c r="V17" s="9">
        <v>9.8977999999999997E-2</v>
      </c>
      <c r="W17" s="38">
        <v>0</v>
      </c>
      <c r="X17" s="38"/>
      <c r="Z17" s="38"/>
      <c r="AA17" s="9"/>
      <c r="AB17" s="9"/>
      <c r="AC17" s="38">
        <v>0.10524242803974126</v>
      </c>
      <c r="AD17" s="38">
        <v>1</v>
      </c>
      <c r="AE17" s="9"/>
      <c r="AF17" s="9"/>
      <c r="AG17" s="9"/>
      <c r="AH17" s="9"/>
      <c r="AI17" s="9"/>
      <c r="AK17" s="9"/>
      <c r="AM17" s="9"/>
      <c r="AN17" s="9"/>
      <c r="AO17" s="9"/>
      <c r="AP17" s="9"/>
      <c r="AQ17" s="9"/>
      <c r="AR17" s="9"/>
      <c r="AS17" s="9"/>
      <c r="AU17" s="9"/>
      <c r="AV17" s="9"/>
      <c r="BO17" s="20"/>
      <c r="BP17" s="20"/>
      <c r="BQ17" s="9"/>
      <c r="CH17" s="9"/>
      <c r="CI17" s="9"/>
    </row>
    <row r="18" spans="1:87">
      <c r="A18" s="13">
        <v>18445</v>
      </c>
      <c r="B18" s="12">
        <v>2228.21</v>
      </c>
      <c r="C18" s="9">
        <v>0</v>
      </c>
      <c r="D18" s="24">
        <v>2029</v>
      </c>
      <c r="E18" s="12">
        <v>13.846</v>
      </c>
      <c r="F18" s="12">
        <v>14.069000000000001</v>
      </c>
      <c r="G18" s="12">
        <v>49.856000000000002</v>
      </c>
      <c r="H18" s="34">
        <v>17.100000000000001</v>
      </c>
      <c r="I18" s="34">
        <v>307.89999999999998</v>
      </c>
      <c r="J18" s="35">
        <v>14.234999999999999</v>
      </c>
      <c r="K18" s="35">
        <v>28.219000000000001</v>
      </c>
      <c r="L18" s="35">
        <v>39.683</v>
      </c>
      <c r="M18" s="5">
        <v>8.0723242832702091</v>
      </c>
      <c r="N18" s="5">
        <v>1.5337147243305402</v>
      </c>
      <c r="O18" s="5"/>
      <c r="P18" s="6">
        <v>1</v>
      </c>
      <c r="Q18" s="6">
        <v>1</v>
      </c>
      <c r="R18" s="33">
        <v>1</v>
      </c>
      <c r="S18" s="5"/>
      <c r="T18" s="6"/>
      <c r="U18">
        <v>0.63057265951674601</v>
      </c>
      <c r="V18" s="9">
        <v>-4.7706999999999999E-2</v>
      </c>
      <c r="W18" s="38">
        <v>0</v>
      </c>
      <c r="X18" s="38"/>
      <c r="Z18" s="38"/>
      <c r="AA18" s="9"/>
      <c r="AB18" s="9"/>
      <c r="AC18" s="38">
        <v>0.10481051909372607</v>
      </c>
      <c r="AD18" s="38">
        <v>1</v>
      </c>
      <c r="AE18" s="9"/>
      <c r="AF18" s="9"/>
      <c r="AG18" s="9"/>
      <c r="AH18" s="9"/>
      <c r="AI18" s="9"/>
      <c r="AK18" s="9"/>
      <c r="AM18" s="9"/>
      <c r="AN18" s="9"/>
      <c r="AO18" s="9"/>
      <c r="AP18" s="9"/>
      <c r="AQ18" s="9"/>
      <c r="AR18" s="9"/>
      <c r="AS18" s="9"/>
      <c r="AU18" s="9"/>
      <c r="AV18" s="9"/>
      <c r="BO18" s="20"/>
      <c r="BP18" s="20"/>
      <c r="BQ18" s="9"/>
      <c r="CH18" s="9"/>
      <c r="CI18" s="9"/>
    </row>
    <row r="19" spans="1:87">
      <c r="A19" s="13">
        <v>18537</v>
      </c>
      <c r="B19" s="12">
        <v>2271.2429999999999</v>
      </c>
      <c r="C19" s="9">
        <v>0</v>
      </c>
      <c r="D19" s="24">
        <v>2097</v>
      </c>
      <c r="E19" s="12">
        <v>14.103</v>
      </c>
      <c r="F19" s="12">
        <v>14.22</v>
      </c>
      <c r="G19" s="12">
        <v>50.316000000000003</v>
      </c>
      <c r="H19" s="34">
        <v>18.600000000000001</v>
      </c>
      <c r="I19" s="34">
        <v>319.7</v>
      </c>
      <c r="J19" s="35">
        <v>14.488</v>
      </c>
      <c r="K19" s="35">
        <v>28.262</v>
      </c>
      <c r="L19" s="35">
        <v>39.86</v>
      </c>
      <c r="M19" s="5">
        <v>0.54555537299243562</v>
      </c>
      <c r="N19" s="5">
        <v>-2.1520460387171143</v>
      </c>
      <c r="O19" s="5"/>
      <c r="P19" s="6">
        <v>1</v>
      </c>
      <c r="Q19" s="6">
        <v>1</v>
      </c>
      <c r="R19" s="33">
        <v>1</v>
      </c>
      <c r="S19" s="5"/>
      <c r="T19" s="6"/>
      <c r="U19">
        <v>0.4106855613819913</v>
      </c>
      <c r="V19" s="9">
        <v>0.19904900000000003</v>
      </c>
      <c r="W19" s="38">
        <v>0</v>
      </c>
      <c r="X19" s="38"/>
      <c r="Z19" s="38"/>
      <c r="AA19" s="9"/>
      <c r="AB19" s="9"/>
      <c r="AC19" s="38">
        <v>0.1020065427315211</v>
      </c>
      <c r="AD19" s="38">
        <v>1</v>
      </c>
      <c r="AE19" s="9"/>
      <c r="AF19" s="9"/>
      <c r="AG19" s="9"/>
      <c r="AH19" s="9"/>
      <c r="AI19" s="9"/>
      <c r="AK19" s="9"/>
      <c r="AM19" s="9"/>
      <c r="AN19" s="9"/>
      <c r="AO19" s="9"/>
      <c r="AP19" s="9"/>
      <c r="AQ19" s="9"/>
      <c r="AR19" s="9"/>
      <c r="AS19" s="9"/>
      <c r="AU19" s="9"/>
      <c r="AV19" s="9"/>
      <c r="BO19" s="20"/>
      <c r="BP19" s="20"/>
      <c r="BQ19" s="9"/>
      <c r="CH19" s="9"/>
      <c r="CI19" s="9"/>
    </row>
    <row r="20" spans="1:87">
      <c r="A20" s="13">
        <v>18629</v>
      </c>
      <c r="B20" s="12">
        <v>2302.3180000000002</v>
      </c>
      <c r="C20" s="9">
        <v>0</v>
      </c>
      <c r="D20" s="24">
        <v>2194</v>
      </c>
      <c r="E20" s="12">
        <v>14.61</v>
      </c>
      <c r="F20" s="12">
        <v>14.489000000000001</v>
      </c>
      <c r="G20" s="12">
        <v>51.161999999999999</v>
      </c>
      <c r="H20" s="34">
        <v>13</v>
      </c>
      <c r="I20" s="34">
        <v>332.9</v>
      </c>
      <c r="J20" s="35">
        <v>14.948</v>
      </c>
      <c r="K20" s="35">
        <v>28.32</v>
      </c>
      <c r="L20" s="35">
        <v>39.231000000000002</v>
      </c>
      <c r="M20" s="5">
        <v>-2.2794159447969138</v>
      </c>
      <c r="N20" s="5">
        <v>-1.0248596009128894</v>
      </c>
      <c r="O20" s="5"/>
      <c r="P20" s="6">
        <v>1</v>
      </c>
      <c r="Q20" s="6">
        <v>1</v>
      </c>
      <c r="R20" s="33">
        <v>1</v>
      </c>
      <c r="S20" s="5"/>
      <c r="T20" s="6"/>
      <c r="U20">
        <v>1.3085370540416353E-2</v>
      </c>
      <c r="V20" s="9">
        <v>-0.13374500000000003</v>
      </c>
      <c r="W20" s="38">
        <v>0</v>
      </c>
      <c r="X20" s="38"/>
      <c r="Z20" s="38"/>
      <c r="AA20" s="9"/>
      <c r="AB20" s="9"/>
      <c r="AC20" s="38">
        <v>4.1274746912285387E-3</v>
      </c>
      <c r="AD20" s="38">
        <v>1</v>
      </c>
      <c r="AE20" s="9"/>
      <c r="AF20" s="9"/>
      <c r="AG20" s="9"/>
      <c r="AH20" s="9"/>
      <c r="AI20" s="9"/>
      <c r="AK20" s="9"/>
      <c r="AM20" s="9"/>
      <c r="AN20" s="9"/>
      <c r="AO20" s="9"/>
      <c r="AP20" s="9"/>
      <c r="AQ20" s="9"/>
      <c r="AR20" s="9"/>
      <c r="AS20" s="9"/>
      <c r="AU20" s="9"/>
      <c r="AV20" s="9"/>
      <c r="BL20" s="9"/>
      <c r="BM20" s="9"/>
      <c r="BN20" s="9"/>
      <c r="BO20" s="20"/>
      <c r="BP20" s="20"/>
      <c r="BQ20" s="9"/>
      <c r="BR20" s="9"/>
      <c r="CH20" s="9"/>
      <c r="CI20" s="9"/>
    </row>
    <row r="21" spans="1:87">
      <c r="A21" s="13">
        <v>18719</v>
      </c>
      <c r="B21" s="12">
        <v>2342.2539999999999</v>
      </c>
      <c r="C21" s="9">
        <v>0</v>
      </c>
      <c r="D21" s="24">
        <v>2237</v>
      </c>
      <c r="E21" s="12">
        <v>14.706</v>
      </c>
      <c r="F21" s="12">
        <v>14.554</v>
      </c>
      <c r="G21" s="12">
        <v>51.573</v>
      </c>
      <c r="H21" s="34">
        <v>16.600000000000001</v>
      </c>
      <c r="I21" s="34">
        <v>341</v>
      </c>
      <c r="J21" s="35">
        <v>15.068</v>
      </c>
      <c r="K21" s="35">
        <v>28.22</v>
      </c>
      <c r="L21" s="35">
        <v>39.713999999999999</v>
      </c>
      <c r="M21" s="5">
        <v>0.66381238557818345</v>
      </c>
      <c r="N21" s="5">
        <v>4.6712208613237456</v>
      </c>
      <c r="O21" s="5"/>
      <c r="P21" s="6">
        <v>1</v>
      </c>
      <c r="Q21" s="6">
        <v>1</v>
      </c>
      <c r="R21" s="33">
        <v>1</v>
      </c>
      <c r="S21" s="5"/>
      <c r="T21" s="6"/>
      <c r="U21">
        <v>0</v>
      </c>
      <c r="V21" s="9">
        <v>-6.0739999999999988E-2</v>
      </c>
      <c r="W21" s="38">
        <v>0</v>
      </c>
      <c r="X21" s="38"/>
      <c r="Z21" s="38"/>
      <c r="AA21" s="9"/>
      <c r="AB21" s="9"/>
      <c r="AC21" s="38">
        <v>3.0754407792092708E-2</v>
      </c>
      <c r="AD21" s="38">
        <v>1</v>
      </c>
      <c r="AE21" s="9"/>
      <c r="AF21" s="9"/>
      <c r="AG21" s="9"/>
      <c r="AH21" s="9"/>
      <c r="AI21" s="9"/>
      <c r="AK21" s="9"/>
      <c r="AM21" s="9"/>
      <c r="AN21" s="9"/>
      <c r="AO21" s="9"/>
      <c r="AP21" s="9"/>
      <c r="AQ21" s="9"/>
      <c r="AR21" s="9"/>
      <c r="AS21" s="9"/>
      <c r="AU21" s="9"/>
      <c r="AV21" s="9"/>
      <c r="BL21" s="9"/>
      <c r="BM21" s="9"/>
      <c r="BN21" s="9"/>
      <c r="BO21" s="20"/>
      <c r="BP21" s="20"/>
      <c r="BQ21" s="9"/>
      <c r="BR21" s="9"/>
      <c r="CH21" s="9"/>
      <c r="CI21" s="9"/>
    </row>
    <row r="22" spans="1:87">
      <c r="A22" s="13">
        <v>18810</v>
      </c>
      <c r="B22" s="12">
        <v>2390.4989999999998</v>
      </c>
      <c r="C22" s="9">
        <v>0</v>
      </c>
      <c r="D22" s="24">
        <v>2275</v>
      </c>
      <c r="E22" s="12">
        <v>14.715999999999999</v>
      </c>
      <c r="F22" s="12">
        <v>14.74</v>
      </c>
      <c r="G22" s="12">
        <v>51.063000000000002</v>
      </c>
      <c r="H22" s="34">
        <v>19.2</v>
      </c>
      <c r="I22" s="34">
        <v>347.2</v>
      </c>
      <c r="J22" s="35">
        <v>15.087999999999999</v>
      </c>
      <c r="K22" s="35">
        <v>28.866</v>
      </c>
      <c r="L22" s="35">
        <v>40.18</v>
      </c>
      <c r="M22" s="5">
        <v>7.4863596859146062</v>
      </c>
      <c r="N22" s="5">
        <v>11.718193312688644</v>
      </c>
      <c r="O22" s="5"/>
      <c r="P22" s="6">
        <v>1</v>
      </c>
      <c r="Q22" s="6">
        <v>1</v>
      </c>
      <c r="R22" s="33">
        <v>1</v>
      </c>
      <c r="S22" s="5"/>
      <c r="T22" s="6"/>
      <c r="U22">
        <v>0</v>
      </c>
      <c r="V22" s="9">
        <v>0.11890699999999998</v>
      </c>
      <c r="W22" s="38">
        <v>0</v>
      </c>
      <c r="X22" s="38"/>
      <c r="Z22" s="38"/>
      <c r="AA22" s="9"/>
      <c r="AB22" s="9"/>
      <c r="AC22" s="38">
        <v>6.2099210866273902E-2</v>
      </c>
      <c r="AD22" s="38">
        <v>1</v>
      </c>
      <c r="AE22" s="9"/>
      <c r="AF22" s="9"/>
      <c r="AG22" s="9"/>
      <c r="AH22" s="9"/>
      <c r="AI22" s="9"/>
      <c r="AK22" s="9"/>
      <c r="AM22" s="9"/>
      <c r="AN22" s="9"/>
      <c r="AO22" s="9"/>
      <c r="AP22" s="9"/>
      <c r="AQ22" s="9"/>
      <c r="AR22" s="9"/>
      <c r="AS22" s="9"/>
      <c r="AU22" s="9"/>
      <c r="AV22" s="9"/>
      <c r="BL22" s="9"/>
      <c r="BM22" s="9"/>
      <c r="BN22" s="9"/>
      <c r="BO22" s="20"/>
      <c r="BP22" s="20"/>
      <c r="BQ22" s="9"/>
      <c r="BR22" s="9"/>
      <c r="CH22" s="9"/>
      <c r="CI22" s="9"/>
    </row>
    <row r="23" spans="1:87">
      <c r="A23" s="13">
        <v>18902</v>
      </c>
      <c r="B23" s="12">
        <v>2395.7910000000002</v>
      </c>
      <c r="C23" s="9">
        <v>0</v>
      </c>
      <c r="D23" s="24">
        <v>2295</v>
      </c>
      <c r="E23" s="12">
        <v>14.884</v>
      </c>
      <c r="F23" s="12">
        <v>14.782</v>
      </c>
      <c r="G23" s="12">
        <v>51.087000000000003</v>
      </c>
      <c r="H23" s="34">
        <v>18.8</v>
      </c>
      <c r="I23" s="34">
        <v>354.3</v>
      </c>
      <c r="J23" s="35">
        <v>15.288</v>
      </c>
      <c r="K23" s="35">
        <v>28.934999999999999</v>
      </c>
      <c r="L23" s="35">
        <v>40.351999999999997</v>
      </c>
      <c r="M23" s="5">
        <v>-0.59027857530464889</v>
      </c>
      <c r="N23" s="5">
        <v>1.5617134735284095</v>
      </c>
      <c r="O23" s="5"/>
      <c r="P23" s="6">
        <v>1</v>
      </c>
      <c r="Q23" s="6">
        <v>1</v>
      </c>
      <c r="R23" s="33">
        <v>1</v>
      </c>
      <c r="S23" s="5"/>
      <c r="T23" s="6"/>
      <c r="U23">
        <v>0</v>
      </c>
      <c r="V23" s="9">
        <v>-3.8578000000000001E-2</v>
      </c>
      <c r="W23" s="38">
        <v>0</v>
      </c>
      <c r="X23" s="38"/>
      <c r="Z23" s="38"/>
      <c r="AA23" s="9"/>
      <c r="AB23" s="9"/>
      <c r="AC23" s="38">
        <v>3.4769503936733948E-2</v>
      </c>
      <c r="AD23" s="38">
        <v>1</v>
      </c>
      <c r="AE23" s="9"/>
      <c r="AF23" s="9"/>
      <c r="AG23" s="9"/>
      <c r="AH23" s="9"/>
      <c r="AI23" s="9"/>
      <c r="AK23" s="9"/>
      <c r="AM23" s="9"/>
      <c r="AN23" s="9"/>
      <c r="AO23" s="9"/>
      <c r="AP23" s="9"/>
      <c r="AQ23" s="9"/>
      <c r="AR23" s="9"/>
      <c r="AS23" s="9"/>
      <c r="AU23" s="9"/>
      <c r="AV23" s="9"/>
      <c r="BL23" s="9"/>
      <c r="BM23" s="9"/>
      <c r="BN23" s="9"/>
      <c r="BO23" s="20"/>
      <c r="BP23" s="20"/>
      <c r="BQ23" s="9"/>
      <c r="BR23" s="9"/>
      <c r="CH23" s="9"/>
      <c r="CI23" s="9"/>
    </row>
    <row r="24" spans="1:87">
      <c r="A24" s="13">
        <v>18994</v>
      </c>
      <c r="B24" s="12">
        <v>2421.12</v>
      </c>
      <c r="C24" s="9">
        <v>0</v>
      </c>
      <c r="D24" s="24">
        <v>2308</v>
      </c>
      <c r="E24" s="12">
        <v>14.877000000000001</v>
      </c>
      <c r="F24" s="12">
        <v>14.941000000000001</v>
      </c>
      <c r="G24" s="12">
        <v>51.415999999999997</v>
      </c>
      <c r="H24" s="34">
        <v>18.3</v>
      </c>
      <c r="I24" s="34">
        <v>356.5</v>
      </c>
      <c r="J24" s="35">
        <v>15.353</v>
      </c>
      <c r="K24" s="35">
        <v>29.059000000000001</v>
      </c>
      <c r="L24" s="35">
        <v>40.622</v>
      </c>
      <c r="M24" s="5">
        <v>4.3798225429261761E-2</v>
      </c>
      <c r="N24" s="5">
        <v>-0.9767885384939643</v>
      </c>
      <c r="O24" s="5"/>
      <c r="P24" s="6">
        <v>1</v>
      </c>
      <c r="Q24" s="6">
        <v>1</v>
      </c>
      <c r="R24" s="33">
        <v>1</v>
      </c>
      <c r="S24" s="5"/>
      <c r="T24" s="6"/>
      <c r="U24">
        <v>-1.4370952015385473E-3</v>
      </c>
      <c r="V24" s="9">
        <v>-3.7478999999999985E-2</v>
      </c>
      <c r="W24" s="38">
        <v>0</v>
      </c>
      <c r="X24" s="38"/>
      <c r="Z24" s="38"/>
      <c r="AA24" s="9"/>
      <c r="AB24" s="9"/>
      <c r="AC24" s="38">
        <v>5.7642477568532691E-2</v>
      </c>
      <c r="AD24" s="38">
        <v>1</v>
      </c>
      <c r="AE24" s="9"/>
      <c r="AF24" s="9"/>
      <c r="AG24" s="9"/>
      <c r="AH24" s="9"/>
      <c r="AI24" s="9"/>
      <c r="AK24" s="9"/>
      <c r="AM24" s="9"/>
      <c r="AN24" s="9"/>
      <c r="AO24" s="9"/>
      <c r="AP24" s="9"/>
      <c r="AQ24" s="9"/>
      <c r="AR24" s="9"/>
      <c r="AS24" s="9"/>
      <c r="AU24" s="9"/>
      <c r="AV24" s="9"/>
      <c r="BL24" s="9"/>
      <c r="BM24" s="9"/>
      <c r="BN24" s="9"/>
      <c r="BO24" s="20"/>
      <c r="BP24" s="20"/>
      <c r="BQ24" s="9"/>
      <c r="BR24" s="9"/>
      <c r="CH24" s="9"/>
      <c r="CI24" s="9"/>
    </row>
    <row r="25" spans="1:87">
      <c r="A25" s="13">
        <v>19085</v>
      </c>
      <c r="B25" s="12">
        <v>2426.174</v>
      </c>
      <c r="C25" s="9">
        <v>0</v>
      </c>
      <c r="D25" s="24">
        <v>2307</v>
      </c>
      <c r="E25" s="12">
        <v>14.896000000000001</v>
      </c>
      <c r="F25" s="12">
        <v>14.868</v>
      </c>
      <c r="G25" s="12">
        <v>51.203000000000003</v>
      </c>
      <c r="H25" s="34">
        <v>17.600000000000001</v>
      </c>
      <c r="I25" s="34">
        <v>359</v>
      </c>
      <c r="J25" s="35">
        <v>15.35</v>
      </c>
      <c r="K25" s="35">
        <v>29.036999999999999</v>
      </c>
      <c r="L25" s="35">
        <v>40.822000000000003</v>
      </c>
      <c r="M25" s="5">
        <v>2.2802897227311849</v>
      </c>
      <c r="N25" s="5">
        <v>-1.3482366097433949</v>
      </c>
      <c r="O25" s="5"/>
      <c r="P25" s="6">
        <v>1</v>
      </c>
      <c r="Q25" s="6">
        <v>1</v>
      </c>
      <c r="R25" s="33">
        <v>1</v>
      </c>
      <c r="S25" s="5"/>
      <c r="T25" s="6"/>
      <c r="U25">
        <v>-1.3097572361261351E-2</v>
      </c>
      <c r="V25" s="9">
        <v>0.11862499999999998</v>
      </c>
      <c r="W25" s="38">
        <v>0</v>
      </c>
      <c r="X25" s="38"/>
      <c r="Z25" s="38"/>
      <c r="AA25" s="9"/>
      <c r="AB25" s="9"/>
      <c r="AC25" s="38">
        <v>-2.3677644475703641E-2</v>
      </c>
      <c r="AD25" s="38">
        <v>1</v>
      </c>
      <c r="AE25" s="9"/>
      <c r="AF25" s="9"/>
      <c r="AG25" s="9"/>
      <c r="AH25" s="9"/>
      <c r="AI25" s="9"/>
      <c r="AK25" s="9"/>
      <c r="AM25" s="9"/>
      <c r="AN25" s="9"/>
      <c r="AO25" s="9"/>
      <c r="AP25" s="9"/>
      <c r="AQ25" s="9"/>
      <c r="AR25" s="9"/>
      <c r="AS25" s="9"/>
      <c r="AU25" s="9"/>
      <c r="AV25" s="9"/>
      <c r="BL25" s="9"/>
      <c r="BM25" s="9"/>
      <c r="BN25" s="9"/>
      <c r="BO25" s="20"/>
      <c r="BP25" s="20"/>
      <c r="BQ25" s="9"/>
      <c r="BR25" s="9"/>
      <c r="CH25" s="9"/>
      <c r="CI25" s="9"/>
    </row>
    <row r="26" spans="1:87">
      <c r="A26" s="13">
        <v>19176</v>
      </c>
      <c r="B26" s="12">
        <v>2443.7249999999999</v>
      </c>
      <c r="C26" s="9">
        <v>0</v>
      </c>
      <c r="D26" s="24">
        <v>2340</v>
      </c>
      <c r="E26" s="12">
        <v>15.061999999999999</v>
      </c>
      <c r="F26" s="12">
        <v>14.916</v>
      </c>
      <c r="G26" s="12">
        <v>51.570999999999998</v>
      </c>
      <c r="H26" s="34">
        <v>17.5</v>
      </c>
      <c r="I26" s="34">
        <v>366.4</v>
      </c>
      <c r="J26" s="35">
        <v>15.451000000000001</v>
      </c>
      <c r="K26" s="35">
        <v>28.922999999999998</v>
      </c>
      <c r="L26" s="35">
        <v>41.043999999999997</v>
      </c>
      <c r="M26" s="5">
        <v>0.69322511351041904</v>
      </c>
      <c r="N26" s="5">
        <v>-3.3894979575299793</v>
      </c>
      <c r="O26" s="5"/>
      <c r="P26" s="6">
        <v>1</v>
      </c>
      <c r="Q26" s="6">
        <v>1</v>
      </c>
      <c r="R26" s="33">
        <v>1</v>
      </c>
      <c r="S26" s="5"/>
      <c r="T26" s="6"/>
      <c r="U26">
        <v>2.2717916946941872E-3</v>
      </c>
      <c r="V26" s="9">
        <v>2.5144E-2</v>
      </c>
      <c r="W26" s="38">
        <v>0</v>
      </c>
      <c r="X26" s="38"/>
      <c r="Z26" s="38"/>
      <c r="AA26" s="9"/>
      <c r="AB26" s="9"/>
      <c r="AC26" s="38">
        <v>3.9537004683041443E-2</v>
      </c>
      <c r="AD26" s="38">
        <v>1</v>
      </c>
      <c r="AE26" s="9"/>
      <c r="AF26" s="9"/>
      <c r="AG26" s="9"/>
      <c r="AH26" s="9"/>
      <c r="AI26" s="9"/>
      <c r="AK26" s="9"/>
      <c r="AM26" s="9"/>
      <c r="AN26" s="9"/>
      <c r="AO26" s="9"/>
      <c r="AP26" s="9"/>
      <c r="AQ26" s="9"/>
      <c r="AR26" s="9"/>
      <c r="AS26" s="9"/>
      <c r="AU26" s="9"/>
      <c r="AV26" s="9"/>
      <c r="BL26" s="9"/>
      <c r="BM26" s="9"/>
      <c r="BN26" s="9"/>
      <c r="BO26" s="20"/>
      <c r="BP26" s="20"/>
      <c r="BQ26" s="9"/>
      <c r="BR26" s="9"/>
      <c r="CH26" s="9"/>
      <c r="CI26" s="9"/>
    </row>
    <row r="27" spans="1:87">
      <c r="A27" s="13">
        <v>19268</v>
      </c>
      <c r="B27" s="12">
        <v>2523.9270000000001</v>
      </c>
      <c r="C27" s="9">
        <v>0</v>
      </c>
      <c r="D27" s="24">
        <v>2412</v>
      </c>
      <c r="E27" s="12">
        <v>15.105</v>
      </c>
      <c r="F27" s="12">
        <v>15.62</v>
      </c>
      <c r="G27" s="12">
        <v>52.951999999999998</v>
      </c>
      <c r="H27" s="34">
        <v>20</v>
      </c>
      <c r="I27" s="34">
        <v>378.7</v>
      </c>
      <c r="J27" s="35">
        <v>15.477</v>
      </c>
      <c r="K27" s="35">
        <v>29.498999999999999</v>
      </c>
      <c r="L27" s="35">
        <v>42.018999999999998</v>
      </c>
      <c r="M27" s="5">
        <v>7.218924266577778</v>
      </c>
      <c r="N27" s="5">
        <v>5.2912650691339724</v>
      </c>
      <c r="O27" s="5"/>
      <c r="P27" s="6">
        <v>1</v>
      </c>
      <c r="Q27" s="6">
        <v>1</v>
      </c>
      <c r="R27" s="33">
        <v>1</v>
      </c>
      <c r="S27" s="5"/>
      <c r="T27" s="6"/>
      <c r="U27">
        <v>0</v>
      </c>
      <c r="V27" s="9">
        <v>1.9303000000000015E-2</v>
      </c>
      <c r="W27" s="38">
        <v>0</v>
      </c>
      <c r="X27" s="38"/>
      <c r="Z27" s="38"/>
      <c r="AA27" s="9"/>
      <c r="AB27" s="9"/>
      <c r="AC27" s="38">
        <v>-5.5330699561011443E-3</v>
      </c>
      <c r="AD27" s="38">
        <v>1</v>
      </c>
      <c r="AE27" s="9"/>
      <c r="AF27" s="9"/>
      <c r="AG27" s="9"/>
      <c r="AH27" s="9"/>
      <c r="AI27" s="9"/>
      <c r="AK27" s="9"/>
      <c r="AM27" s="9"/>
      <c r="AN27" s="9"/>
      <c r="AO27" s="9"/>
      <c r="AP27" s="9"/>
      <c r="AQ27" s="9"/>
      <c r="AR27" s="9"/>
      <c r="AS27" s="9"/>
      <c r="AU27" s="9"/>
      <c r="AV27" s="9"/>
      <c r="BL27" s="9"/>
      <c r="BM27" s="9"/>
      <c r="BN27" s="9"/>
      <c r="BO27" s="20"/>
      <c r="BP27" s="20"/>
      <c r="BQ27" s="9"/>
      <c r="BR27" s="9"/>
      <c r="BX27" s="2"/>
      <c r="CH27" s="9"/>
      <c r="CI27" s="9"/>
    </row>
    <row r="28" spans="1:87">
      <c r="A28" s="13">
        <v>19360</v>
      </c>
      <c r="B28" s="12">
        <v>2570.8980000000001</v>
      </c>
      <c r="C28" s="9">
        <v>0</v>
      </c>
      <c r="D28" s="24">
        <v>2449</v>
      </c>
      <c r="E28" s="12">
        <v>15.11</v>
      </c>
      <c r="F28" s="12">
        <v>15.906000000000001</v>
      </c>
      <c r="G28" s="12">
        <v>53.500999999999998</v>
      </c>
      <c r="H28" s="34">
        <v>19.899999999999999</v>
      </c>
      <c r="I28" s="34">
        <v>385.6</v>
      </c>
      <c r="J28" s="35">
        <v>15.536</v>
      </c>
      <c r="K28" s="35">
        <v>29.73</v>
      </c>
      <c r="L28" s="35">
        <v>42.627000000000002</v>
      </c>
      <c r="M28" s="5">
        <v>5.0090398010152812</v>
      </c>
      <c r="N28" s="5">
        <v>7.0983182005899206</v>
      </c>
      <c r="O28" s="5"/>
      <c r="P28" s="6">
        <v>1</v>
      </c>
      <c r="Q28" s="6">
        <v>1</v>
      </c>
      <c r="R28" s="33">
        <v>1</v>
      </c>
      <c r="S28" s="5"/>
      <c r="T28" s="6"/>
      <c r="U28">
        <v>-2.019599393502992E-2</v>
      </c>
      <c r="V28" s="9">
        <v>2.230999999999983E-3</v>
      </c>
      <c r="W28" s="38">
        <v>0</v>
      </c>
      <c r="X28" s="38"/>
      <c r="Z28" s="38"/>
      <c r="AA28" s="9"/>
      <c r="AB28" s="9"/>
      <c r="AC28" s="38">
        <v>5.0856564575572527E-2</v>
      </c>
      <c r="AD28" s="38">
        <v>1</v>
      </c>
      <c r="AE28" s="9"/>
      <c r="AF28" s="9"/>
      <c r="AG28" s="9"/>
      <c r="AH28" s="9"/>
      <c r="AI28" s="9"/>
      <c r="AK28" s="9"/>
      <c r="AM28" s="9"/>
      <c r="AN28" s="9"/>
      <c r="AO28" s="9"/>
      <c r="AP28" s="9"/>
      <c r="AQ28" s="9"/>
      <c r="AR28" s="9"/>
      <c r="AS28" s="9"/>
      <c r="AU28" s="9"/>
      <c r="AV28" s="9"/>
      <c r="BL28" s="9"/>
      <c r="BM28" s="9"/>
      <c r="BN28" s="9"/>
      <c r="BO28" s="20"/>
      <c r="BP28" s="20"/>
      <c r="BQ28" s="9"/>
      <c r="BR28" s="9"/>
      <c r="BX28" s="2"/>
      <c r="CH28" s="9"/>
      <c r="CI28" s="9"/>
    </row>
    <row r="29" spans="1:87">
      <c r="A29" s="13">
        <v>19450</v>
      </c>
      <c r="B29" s="12">
        <v>2590.9639999999999</v>
      </c>
      <c r="C29" s="9">
        <v>0</v>
      </c>
      <c r="D29" s="24">
        <v>2463</v>
      </c>
      <c r="E29" s="12">
        <v>15.14</v>
      </c>
      <c r="F29" s="12">
        <v>15.984999999999999</v>
      </c>
      <c r="G29" s="12">
        <v>53.594999999999999</v>
      </c>
      <c r="H29" s="34">
        <v>18.899999999999999</v>
      </c>
      <c r="I29" s="34">
        <v>389</v>
      </c>
      <c r="J29" s="35">
        <v>15.56</v>
      </c>
      <c r="K29" s="35">
        <v>29.826000000000001</v>
      </c>
      <c r="L29" s="35">
        <v>42.97</v>
      </c>
      <c r="M29" s="5">
        <v>1.4294212068739443</v>
      </c>
      <c r="N29" s="5">
        <v>7.7138242609893348</v>
      </c>
      <c r="O29" s="5"/>
      <c r="P29" s="6">
        <v>0</v>
      </c>
      <c r="Q29" s="6">
        <v>0</v>
      </c>
      <c r="R29" s="33">
        <v>1</v>
      </c>
      <c r="S29" s="5"/>
      <c r="T29" s="6"/>
      <c r="U29">
        <v>-1.1628699596775901E-2</v>
      </c>
      <c r="V29" s="9">
        <v>-3.3569999999999989E-3</v>
      </c>
      <c r="W29" s="38">
        <v>0</v>
      </c>
      <c r="X29" s="38"/>
      <c r="Z29" s="38"/>
      <c r="AA29" s="9"/>
      <c r="AB29" s="9"/>
      <c r="AC29" s="38">
        <v>6.9893347133716643E-2</v>
      </c>
      <c r="AD29" s="38">
        <v>1</v>
      </c>
      <c r="AE29" s="9"/>
      <c r="AF29" s="9"/>
      <c r="AG29" s="9"/>
      <c r="AH29" s="9"/>
      <c r="AI29" s="9"/>
      <c r="AK29" s="9"/>
      <c r="AM29" s="9"/>
      <c r="AN29" s="9"/>
      <c r="AO29" s="9"/>
      <c r="AP29" s="9"/>
      <c r="AQ29" s="9"/>
      <c r="AR29" s="9"/>
      <c r="AS29" s="9"/>
      <c r="AU29" s="9"/>
      <c r="AV29" s="9"/>
      <c r="BL29" s="9"/>
      <c r="BM29" s="9"/>
      <c r="BN29" s="9"/>
      <c r="BO29" s="20"/>
      <c r="BP29" s="20"/>
      <c r="BQ29" s="9"/>
      <c r="BR29" s="9"/>
      <c r="BX29" s="2"/>
      <c r="CH29" s="9"/>
      <c r="CI29" s="9"/>
    </row>
    <row r="30" spans="1:87">
      <c r="A30" s="13">
        <v>19541</v>
      </c>
      <c r="B30" s="12">
        <v>2576.444</v>
      </c>
      <c r="C30" s="9">
        <v>1</v>
      </c>
      <c r="D30" s="24">
        <v>2449</v>
      </c>
      <c r="E30" s="12">
        <v>15.202999999999999</v>
      </c>
      <c r="F30" s="12">
        <v>15.903</v>
      </c>
      <c r="G30" s="12">
        <v>53.06</v>
      </c>
      <c r="H30" s="34">
        <v>18.3</v>
      </c>
      <c r="I30" s="34">
        <v>388.2</v>
      </c>
      <c r="J30" s="35">
        <v>15.644</v>
      </c>
      <c r="K30" s="35">
        <v>29.972000000000001</v>
      </c>
      <c r="L30" s="35">
        <v>43.231999999999999</v>
      </c>
      <c r="M30" s="5">
        <v>-2.7930192219049199</v>
      </c>
      <c r="N30" s="5">
        <v>6.0420556020043676</v>
      </c>
      <c r="O30" s="5"/>
      <c r="P30" s="6">
        <v>0</v>
      </c>
      <c r="Q30" s="6">
        <v>0</v>
      </c>
      <c r="R30" s="33">
        <v>1</v>
      </c>
      <c r="S30" s="5"/>
      <c r="T30" s="6"/>
      <c r="U30">
        <v>-3.0632120992877418E-2</v>
      </c>
      <c r="V30" s="9">
        <v>7.7807000000000015E-2</v>
      </c>
      <c r="W30" s="38">
        <v>0</v>
      </c>
      <c r="X30" s="38"/>
      <c r="Z30" s="38"/>
      <c r="AA30" s="9"/>
      <c r="AB30" s="9"/>
      <c r="AC30" s="38">
        <v>1.368587004018651E-2</v>
      </c>
      <c r="AD30" s="38">
        <v>1</v>
      </c>
      <c r="AE30" s="9"/>
      <c r="AF30" s="9"/>
      <c r="AG30" s="9"/>
      <c r="AH30" s="9"/>
      <c r="AI30" s="9"/>
      <c r="AK30" s="9"/>
      <c r="AM30" s="9"/>
      <c r="AN30" s="9"/>
      <c r="AO30" s="9"/>
      <c r="AP30" s="9"/>
      <c r="AQ30" s="9"/>
      <c r="AR30" s="9"/>
      <c r="AS30" s="9"/>
      <c r="AU30" s="9"/>
      <c r="AV30" s="9"/>
      <c r="BL30" s="9"/>
      <c r="BM30" s="9"/>
      <c r="BN30" s="9"/>
      <c r="BO30" s="20"/>
      <c r="BP30" s="20"/>
      <c r="BQ30" s="9"/>
      <c r="BR30" s="9"/>
      <c r="BX30" s="2"/>
      <c r="CH30" s="9"/>
      <c r="CI30" s="9"/>
    </row>
    <row r="31" spans="1:87">
      <c r="A31" s="13">
        <v>19633</v>
      </c>
      <c r="B31" s="12">
        <v>2537.3440000000001</v>
      </c>
      <c r="C31" s="9">
        <v>1</v>
      </c>
      <c r="D31" s="24">
        <v>2405</v>
      </c>
      <c r="E31" s="12">
        <v>15.233000000000001</v>
      </c>
      <c r="F31" s="12">
        <v>15.593999999999999</v>
      </c>
      <c r="G31" s="12">
        <v>52.225000000000001</v>
      </c>
      <c r="H31" s="34">
        <v>15.8</v>
      </c>
      <c r="I31" s="34">
        <v>381.1</v>
      </c>
      <c r="J31" s="35">
        <v>15.712</v>
      </c>
      <c r="K31" s="35">
        <v>29.859000000000002</v>
      </c>
      <c r="L31" s="35">
        <v>43.58</v>
      </c>
      <c r="M31" s="5">
        <v>-5.8439512545259458</v>
      </c>
      <c r="N31" s="5">
        <v>2.6762722889586659</v>
      </c>
      <c r="O31" s="5"/>
      <c r="P31" s="6">
        <v>0</v>
      </c>
      <c r="Q31" s="6">
        <v>0</v>
      </c>
      <c r="R31" s="33">
        <v>1</v>
      </c>
      <c r="S31" s="5"/>
      <c r="T31" s="6"/>
      <c r="U31">
        <v>-2.6239199322377928E-3</v>
      </c>
      <c r="V31" s="9">
        <v>7.3366000000000042E-2</v>
      </c>
      <c r="W31" s="38">
        <v>0</v>
      </c>
      <c r="X31" s="38"/>
      <c r="Z31" s="38"/>
      <c r="AA31" s="9"/>
      <c r="AB31" s="9"/>
      <c r="AC31" s="38">
        <v>6.9824307406540553E-2</v>
      </c>
      <c r="AD31" s="38">
        <v>1</v>
      </c>
      <c r="AE31" s="9"/>
      <c r="AF31" s="9"/>
      <c r="AG31" s="9"/>
      <c r="AH31" s="9"/>
      <c r="AI31" s="9"/>
      <c r="AK31" s="9"/>
      <c r="AM31" s="9"/>
      <c r="AN31" s="9"/>
      <c r="AO31" s="9"/>
      <c r="AP31" s="9"/>
      <c r="AQ31" s="9"/>
      <c r="AR31" s="9"/>
      <c r="AS31" s="9"/>
      <c r="AU31" s="9"/>
      <c r="AV31" s="9"/>
      <c r="BL31" s="9"/>
      <c r="BM31" s="9"/>
      <c r="BN31" s="9"/>
      <c r="BO31" s="20"/>
      <c r="BP31" s="20"/>
      <c r="BQ31" s="9"/>
      <c r="BR31" s="9"/>
      <c r="BX31" s="2"/>
      <c r="CH31" s="9"/>
      <c r="CI31" s="9"/>
    </row>
    <row r="32" spans="1:87">
      <c r="A32" s="13">
        <v>19725</v>
      </c>
      <c r="B32" s="12">
        <v>2525.6109999999999</v>
      </c>
      <c r="C32" s="9">
        <v>1</v>
      </c>
      <c r="D32" s="24">
        <v>2391</v>
      </c>
      <c r="E32" s="12">
        <v>15.28</v>
      </c>
      <c r="F32" s="12">
        <v>15.411</v>
      </c>
      <c r="G32" s="12">
        <v>51.523000000000003</v>
      </c>
      <c r="H32" s="34">
        <v>18.3</v>
      </c>
      <c r="I32" s="34">
        <v>383.2</v>
      </c>
      <c r="J32" s="35">
        <v>15.791</v>
      </c>
      <c r="K32" s="35">
        <v>29.911000000000001</v>
      </c>
      <c r="L32" s="35">
        <v>43.857999999999997</v>
      </c>
      <c r="M32" s="5">
        <v>-0.62810956745324442</v>
      </c>
      <c r="N32" s="5">
        <v>4.7134492773226837</v>
      </c>
      <c r="O32" s="5"/>
      <c r="P32" s="6">
        <v>0</v>
      </c>
      <c r="Q32" s="6">
        <v>0</v>
      </c>
      <c r="R32" s="33">
        <v>1</v>
      </c>
      <c r="S32" s="5"/>
      <c r="T32" s="6"/>
      <c r="U32">
        <v>0</v>
      </c>
      <c r="V32" s="9">
        <v>0.13065599999999999</v>
      </c>
      <c r="W32" s="38">
        <v>0</v>
      </c>
      <c r="X32" s="38"/>
      <c r="Z32" s="38"/>
      <c r="AA32" s="9"/>
      <c r="AB32" s="9"/>
      <c r="AC32" s="38">
        <v>5.2950804801316531E-2</v>
      </c>
      <c r="AD32" s="38">
        <v>1</v>
      </c>
      <c r="AE32" s="9"/>
      <c r="AF32" s="9"/>
      <c r="AG32" s="9"/>
      <c r="AH32" s="9"/>
      <c r="AI32" s="9"/>
      <c r="AK32" s="9"/>
      <c r="AM32" s="9"/>
      <c r="AN32" s="9"/>
      <c r="AO32" s="9"/>
      <c r="AP32" s="9"/>
      <c r="AQ32" s="9"/>
      <c r="AR32" s="9"/>
      <c r="AS32" s="9"/>
      <c r="AU32" s="9"/>
      <c r="AV32" s="9"/>
      <c r="BL32" s="9"/>
      <c r="BM32" s="9"/>
      <c r="BN32" s="9"/>
      <c r="BO32" s="20"/>
      <c r="BP32" s="20"/>
      <c r="BQ32" s="9"/>
      <c r="BR32" s="9"/>
      <c r="BX32" s="2"/>
      <c r="CH32" s="9"/>
      <c r="CI32" s="9"/>
    </row>
    <row r="33" spans="1:87">
      <c r="A33" s="13">
        <v>19815</v>
      </c>
      <c r="B33" s="12">
        <v>2528.252</v>
      </c>
      <c r="C33" s="9">
        <v>1</v>
      </c>
      <c r="D33" s="24">
        <v>2386</v>
      </c>
      <c r="E33" s="12">
        <v>15.295999999999999</v>
      </c>
      <c r="F33" s="12">
        <v>15.404</v>
      </c>
      <c r="G33" s="12">
        <v>51.134999999999998</v>
      </c>
      <c r="H33" s="34">
        <v>19.100000000000001</v>
      </c>
      <c r="I33" s="34">
        <v>384.2</v>
      </c>
      <c r="J33" s="35">
        <v>15.77</v>
      </c>
      <c r="K33" s="35">
        <v>30.123999999999999</v>
      </c>
      <c r="L33" s="35">
        <v>43.976999999999997</v>
      </c>
      <c r="M33" s="5">
        <v>2.8478817874443876</v>
      </c>
      <c r="N33" s="5">
        <v>3.2997885894612704</v>
      </c>
      <c r="O33" s="5"/>
      <c r="P33" s="6">
        <v>0</v>
      </c>
      <c r="Q33" s="6">
        <v>0</v>
      </c>
      <c r="R33" s="33">
        <v>1</v>
      </c>
      <c r="S33" s="5"/>
      <c r="T33" s="6"/>
      <c r="U33">
        <v>0</v>
      </c>
      <c r="V33" s="9">
        <v>2.9819999999999292E-3</v>
      </c>
      <c r="W33" s="38">
        <v>0</v>
      </c>
      <c r="X33" s="38"/>
      <c r="Z33" s="38"/>
      <c r="AA33" s="9"/>
      <c r="AB33" s="9"/>
      <c r="AC33" s="38">
        <v>7.077256625145667E-2</v>
      </c>
      <c r="AD33" s="38">
        <v>1</v>
      </c>
      <c r="AE33" s="9"/>
      <c r="AF33" s="9"/>
      <c r="AG33" s="9"/>
      <c r="AH33" s="9"/>
      <c r="AI33" s="9"/>
      <c r="AK33" s="9"/>
      <c r="AM33" s="9"/>
      <c r="AN33" s="9"/>
      <c r="AO33" s="9"/>
      <c r="AP33" s="9"/>
      <c r="AQ33" s="9"/>
      <c r="AR33" s="9"/>
      <c r="AS33" s="9"/>
      <c r="AU33" s="9"/>
      <c r="AV33" s="9"/>
      <c r="BL33" s="9"/>
      <c r="BM33" s="9"/>
      <c r="BN33" s="9"/>
      <c r="BO33" s="20"/>
      <c r="BP33" s="20"/>
      <c r="BQ33" s="9"/>
      <c r="BR33" s="9"/>
      <c r="BX33" s="2"/>
      <c r="CH33" s="9"/>
      <c r="CI33" s="9"/>
    </row>
    <row r="34" spans="1:87">
      <c r="A34" s="13">
        <v>19906</v>
      </c>
      <c r="B34" s="12">
        <v>2556.931</v>
      </c>
      <c r="C34" s="9">
        <v>0</v>
      </c>
      <c r="D34" s="24">
        <v>2405</v>
      </c>
      <c r="E34" s="12">
        <v>15.315</v>
      </c>
      <c r="F34" s="12">
        <v>15.622999999999999</v>
      </c>
      <c r="G34" s="12">
        <v>50.935000000000002</v>
      </c>
      <c r="H34" s="34">
        <v>20.100000000000001</v>
      </c>
      <c r="I34" s="34">
        <v>388.2</v>
      </c>
      <c r="J34" s="35">
        <v>15.718</v>
      </c>
      <c r="K34" s="35">
        <v>30.672999999999998</v>
      </c>
      <c r="L34" s="35">
        <v>44.441000000000003</v>
      </c>
      <c r="M34" s="5">
        <v>4.3496818812203877</v>
      </c>
      <c r="N34" s="5">
        <v>0.1836323979251695</v>
      </c>
      <c r="O34" s="5"/>
      <c r="P34" s="6">
        <v>0</v>
      </c>
      <c r="Q34" s="6">
        <v>0</v>
      </c>
      <c r="R34" s="33">
        <v>1</v>
      </c>
      <c r="S34" s="5"/>
      <c r="T34" s="6"/>
      <c r="U34">
        <v>-1.3299065577862593E-2</v>
      </c>
      <c r="V34" s="9">
        <v>0.10569200000000001</v>
      </c>
      <c r="W34" s="38">
        <v>-0.367647059</v>
      </c>
      <c r="X34" s="38"/>
      <c r="Z34" s="38"/>
      <c r="AA34" s="9"/>
      <c r="AB34" s="9"/>
      <c r="AC34" s="38">
        <v>6.3291896599086295E-2</v>
      </c>
      <c r="AD34" s="38">
        <v>1</v>
      </c>
      <c r="AE34" s="9"/>
      <c r="AF34" s="9"/>
      <c r="AG34" s="9"/>
      <c r="AH34" s="9"/>
      <c r="AI34" s="9"/>
      <c r="AK34" s="9"/>
      <c r="AM34" s="9"/>
      <c r="AN34" s="9"/>
      <c r="AO34" s="9"/>
      <c r="AP34" s="9"/>
      <c r="AQ34" s="9"/>
      <c r="AR34" s="9"/>
      <c r="AS34" s="9"/>
      <c r="AU34" s="9"/>
      <c r="AV34" s="9"/>
      <c r="BL34" s="9"/>
      <c r="BM34" s="9"/>
      <c r="BN34" s="9"/>
      <c r="BO34" s="20"/>
      <c r="BP34" s="20"/>
      <c r="BQ34" s="9"/>
      <c r="BR34" s="9"/>
      <c r="BX34" s="2"/>
      <c r="CH34" s="9"/>
      <c r="CI34" s="9"/>
    </row>
    <row r="35" spans="1:87">
      <c r="A35" s="13">
        <v>19998</v>
      </c>
      <c r="B35" s="12">
        <v>2606.7579999999998</v>
      </c>
      <c r="C35" s="9">
        <v>0</v>
      </c>
      <c r="D35" s="24">
        <v>2447</v>
      </c>
      <c r="E35" s="12">
        <v>15.358000000000001</v>
      </c>
      <c r="F35" s="12">
        <v>16.003</v>
      </c>
      <c r="G35" s="12">
        <v>51.573</v>
      </c>
      <c r="H35" s="34">
        <v>22.1</v>
      </c>
      <c r="I35" s="34">
        <v>397.5</v>
      </c>
      <c r="J35" s="35">
        <v>15.702999999999999</v>
      </c>
      <c r="K35" s="35">
        <v>31.03</v>
      </c>
      <c r="L35" s="35">
        <v>45.008000000000003</v>
      </c>
      <c r="M35" s="5">
        <v>6.2309808410826255</v>
      </c>
      <c r="N35" s="5">
        <v>-0.76299938671147327</v>
      </c>
      <c r="O35" s="5"/>
      <c r="P35" s="6">
        <v>0</v>
      </c>
      <c r="Q35" s="6">
        <v>0</v>
      </c>
      <c r="R35" s="33">
        <v>1</v>
      </c>
      <c r="S35" s="5"/>
      <c r="T35" s="6"/>
      <c r="U35">
        <v>0</v>
      </c>
      <c r="V35" s="9">
        <v>0.12535200000000002</v>
      </c>
      <c r="W35" s="38">
        <v>0</v>
      </c>
      <c r="X35" s="38"/>
      <c r="Z35" s="38"/>
      <c r="AA35" s="9"/>
      <c r="AB35" s="9"/>
      <c r="AC35" s="38">
        <v>3.1061046502977696E-2</v>
      </c>
      <c r="AD35" s="38">
        <v>1</v>
      </c>
      <c r="AE35" s="9"/>
      <c r="AF35" s="9"/>
      <c r="AG35" s="9"/>
      <c r="AH35" s="9"/>
      <c r="AI35" s="9"/>
      <c r="AK35" s="9"/>
      <c r="AM35" s="9"/>
      <c r="AN35" s="9"/>
      <c r="AO35" s="9"/>
      <c r="AP35" s="9"/>
      <c r="AQ35" s="9"/>
      <c r="AR35" s="9"/>
      <c r="AS35" s="9"/>
      <c r="AU35" s="9"/>
      <c r="AV35" s="9"/>
      <c r="BL35" s="9"/>
      <c r="BM35" s="9"/>
      <c r="BN35" s="9"/>
      <c r="BO35" s="20"/>
      <c r="BP35" s="20"/>
      <c r="BQ35" s="9"/>
      <c r="BR35" s="9"/>
      <c r="BX35" s="2"/>
      <c r="CH35" s="9"/>
      <c r="CI35" s="9"/>
    </row>
    <row r="36" spans="1:87">
      <c r="A36" s="13">
        <v>20090</v>
      </c>
      <c r="B36" s="12">
        <v>2681.18</v>
      </c>
      <c r="C36" s="9">
        <v>0</v>
      </c>
      <c r="D36" s="24">
        <v>2519</v>
      </c>
      <c r="E36" s="12">
        <v>15.432</v>
      </c>
      <c r="F36" s="12">
        <v>16.573</v>
      </c>
      <c r="G36" s="12">
        <v>52.405000000000001</v>
      </c>
      <c r="H36" s="34">
        <v>25.2</v>
      </c>
      <c r="I36" s="34">
        <v>410.3</v>
      </c>
      <c r="J36" s="35">
        <v>15.755000000000001</v>
      </c>
      <c r="K36" s="35">
        <v>31.625</v>
      </c>
      <c r="L36" s="35">
        <v>45.261000000000003</v>
      </c>
      <c r="M36" s="5">
        <v>7.0060504955901237</v>
      </c>
      <c r="N36" s="5">
        <v>-0.2637432156964028</v>
      </c>
      <c r="O36" s="5"/>
      <c r="P36" s="6">
        <v>0</v>
      </c>
      <c r="Q36" s="6">
        <v>0</v>
      </c>
      <c r="R36" s="33">
        <v>1</v>
      </c>
      <c r="S36" s="5"/>
      <c r="T36" s="6"/>
      <c r="U36">
        <v>1.2583103437465553E-2</v>
      </c>
      <c r="V36" s="9">
        <v>0.15920600000000007</v>
      </c>
      <c r="W36" s="38">
        <v>0</v>
      </c>
      <c r="X36" s="38"/>
      <c r="Z36" s="38"/>
      <c r="AA36" s="9"/>
      <c r="AB36" s="9"/>
      <c r="AC36" s="38">
        <v>5.5745139550322564E-2</v>
      </c>
      <c r="AD36" s="38">
        <v>1</v>
      </c>
      <c r="AE36" s="9"/>
      <c r="AF36" s="9"/>
      <c r="AG36" s="9"/>
      <c r="AH36" s="9"/>
      <c r="AI36" s="9"/>
      <c r="AK36" s="9"/>
      <c r="AM36" s="9"/>
      <c r="AN36" s="9"/>
      <c r="AO36" s="9"/>
      <c r="AP36" s="9"/>
      <c r="AQ36" s="9"/>
      <c r="AR36" s="9"/>
      <c r="AS36" s="9"/>
      <c r="AU36" s="9"/>
      <c r="AV36" s="9"/>
      <c r="BL36" s="9"/>
      <c r="BM36" s="9"/>
      <c r="BN36" s="9"/>
      <c r="BO36" s="20"/>
      <c r="BP36" s="20"/>
      <c r="BQ36" s="9"/>
      <c r="BR36" s="19"/>
      <c r="BX36" s="2"/>
      <c r="CH36" s="9"/>
      <c r="CI36" s="9"/>
    </row>
    <row r="37" spans="1:87">
      <c r="A37" s="13">
        <v>20180</v>
      </c>
      <c r="B37" s="12">
        <v>2724.8249999999998</v>
      </c>
      <c r="C37" s="9">
        <v>0</v>
      </c>
      <c r="D37" s="24">
        <v>2560</v>
      </c>
      <c r="E37" s="12">
        <v>15.496</v>
      </c>
      <c r="F37" s="12">
        <v>16.837</v>
      </c>
      <c r="G37" s="12">
        <v>53.087000000000003</v>
      </c>
      <c r="H37" s="34">
        <v>26.3</v>
      </c>
      <c r="I37" s="34">
        <v>420.5</v>
      </c>
      <c r="J37" s="35">
        <v>15.771000000000001</v>
      </c>
      <c r="K37" s="35">
        <v>31.716000000000001</v>
      </c>
      <c r="L37" s="35">
        <v>45.697000000000003</v>
      </c>
      <c r="M37" s="5">
        <v>4.7538438113370747</v>
      </c>
      <c r="N37" s="5">
        <v>-0.5128004209578032</v>
      </c>
      <c r="O37" s="5"/>
      <c r="P37" s="6">
        <v>1</v>
      </c>
      <c r="Q37" s="6">
        <v>1</v>
      </c>
      <c r="R37" s="33">
        <v>1</v>
      </c>
      <c r="S37" s="5"/>
      <c r="T37" s="6"/>
      <c r="U37">
        <v>0</v>
      </c>
      <c r="V37" s="9">
        <v>-0.25522400000000001</v>
      </c>
      <c r="W37" s="38">
        <v>0</v>
      </c>
      <c r="X37" s="38"/>
      <c r="Z37" s="38"/>
      <c r="AA37" s="9">
        <v>0.2</v>
      </c>
      <c r="AB37" s="9">
        <v>0</v>
      </c>
      <c r="AC37" s="38">
        <v>5.7788881319311036E-2</v>
      </c>
      <c r="AD37" s="38">
        <v>1</v>
      </c>
      <c r="AE37" s="9"/>
      <c r="AF37" s="9"/>
      <c r="AG37" s="9"/>
      <c r="AH37" s="9"/>
      <c r="AI37" s="9"/>
      <c r="AK37" s="9"/>
      <c r="AM37" s="9"/>
      <c r="AN37" s="9"/>
      <c r="AO37" s="9"/>
      <c r="AP37" s="9"/>
      <c r="AQ37" s="9"/>
      <c r="AR37" s="9"/>
      <c r="AS37" s="9"/>
      <c r="AU37" s="9"/>
      <c r="AV37" s="9"/>
      <c r="BL37" s="9"/>
      <c r="BM37" s="9"/>
      <c r="BN37" s="9"/>
      <c r="BO37" s="20"/>
      <c r="BP37" s="20"/>
      <c r="BQ37" s="9"/>
      <c r="BR37" s="9"/>
      <c r="BX37" s="2"/>
      <c r="CH37" s="9"/>
      <c r="CI37" s="9"/>
    </row>
    <row r="38" spans="1:87">
      <c r="A38" s="13">
        <v>20271</v>
      </c>
      <c r="B38" s="12">
        <v>2761.4670000000001</v>
      </c>
      <c r="C38" s="9">
        <v>0</v>
      </c>
      <c r="D38" s="24">
        <v>2601</v>
      </c>
      <c r="E38" s="12">
        <v>15.605</v>
      </c>
      <c r="F38" s="12">
        <v>17.081</v>
      </c>
      <c r="G38" s="12">
        <v>53.637999999999998</v>
      </c>
      <c r="H38" s="34">
        <v>25.6</v>
      </c>
      <c r="I38" s="34">
        <v>429</v>
      </c>
      <c r="J38" s="35">
        <v>15.834</v>
      </c>
      <c r="K38" s="35">
        <v>31.844999999999999</v>
      </c>
      <c r="L38" s="35">
        <v>46.478000000000002</v>
      </c>
      <c r="M38" s="5">
        <v>0.24570428368949271</v>
      </c>
      <c r="N38" s="5">
        <v>-2.1759559699983915</v>
      </c>
      <c r="O38" s="5"/>
      <c r="P38" s="6">
        <v>1</v>
      </c>
      <c r="Q38" s="6">
        <v>1</v>
      </c>
      <c r="R38" s="33">
        <v>1</v>
      </c>
      <c r="S38" s="5"/>
      <c r="T38" s="6"/>
      <c r="U38">
        <v>0</v>
      </c>
      <c r="V38" s="9">
        <v>-7.4250000000000149E-3</v>
      </c>
      <c r="W38" s="38">
        <v>0</v>
      </c>
      <c r="X38" s="38"/>
      <c r="Z38" s="38"/>
      <c r="AA38" s="9">
        <v>2.1</v>
      </c>
      <c r="AB38" s="9">
        <v>0</v>
      </c>
      <c r="AC38" s="38">
        <v>5.742811071924514E-2</v>
      </c>
      <c r="AD38" s="38">
        <v>1</v>
      </c>
      <c r="AE38" s="9"/>
      <c r="AF38" s="9"/>
      <c r="AG38" s="9"/>
      <c r="AH38" s="9"/>
      <c r="AI38" s="9"/>
      <c r="AK38" s="9"/>
      <c r="AM38" s="9"/>
      <c r="AN38" s="9"/>
      <c r="AO38" s="9"/>
      <c r="AP38" s="9"/>
      <c r="AQ38" s="9"/>
      <c r="AR38" s="9"/>
      <c r="AS38" s="9"/>
      <c r="AU38" s="9"/>
      <c r="AV38" s="9"/>
      <c r="BL38" s="9"/>
      <c r="BM38" s="9"/>
      <c r="BN38" s="9"/>
      <c r="BO38" s="20"/>
      <c r="BP38" s="20"/>
      <c r="BQ38" s="9"/>
      <c r="BR38" s="9"/>
      <c r="BX38" s="2"/>
      <c r="CH38" s="9"/>
      <c r="CI38" s="9"/>
    </row>
    <row r="39" spans="1:87">
      <c r="A39" s="13">
        <v>20363</v>
      </c>
      <c r="B39" s="12">
        <v>2778.087</v>
      </c>
      <c r="C39" s="9">
        <v>0</v>
      </c>
      <c r="D39" s="24">
        <v>2630</v>
      </c>
      <c r="E39" s="12">
        <v>15.759</v>
      </c>
      <c r="F39" s="12">
        <v>17.234999999999999</v>
      </c>
      <c r="G39" s="12">
        <v>54.289000000000001</v>
      </c>
      <c r="H39" s="34">
        <v>26</v>
      </c>
      <c r="I39" s="34">
        <v>436.5</v>
      </c>
      <c r="J39" s="35">
        <v>15.877000000000001</v>
      </c>
      <c r="K39" s="35">
        <v>31.747</v>
      </c>
      <c r="L39" s="35">
        <v>46.753</v>
      </c>
      <c r="M39" s="5">
        <v>-2.0489623987136616</v>
      </c>
      <c r="N39" s="5">
        <v>-2.0052266961632776</v>
      </c>
      <c r="O39" s="5"/>
      <c r="P39" s="6">
        <v>1</v>
      </c>
      <c r="Q39" s="6">
        <v>1</v>
      </c>
      <c r="R39" s="33">
        <v>1</v>
      </c>
      <c r="S39" s="5"/>
      <c r="T39" s="6"/>
      <c r="U39">
        <v>0</v>
      </c>
      <c r="V39" s="9">
        <v>0.16778599999999999</v>
      </c>
      <c r="W39" s="38">
        <v>0</v>
      </c>
      <c r="X39" s="38"/>
      <c r="Z39" s="38"/>
      <c r="AA39" s="9">
        <v>-0.6</v>
      </c>
      <c r="AB39" s="9">
        <v>0</v>
      </c>
      <c r="AC39" s="38">
        <v>4.6832415407257022E-2</v>
      </c>
      <c r="AD39" s="38">
        <v>1</v>
      </c>
      <c r="AE39" s="9"/>
      <c r="AF39" s="9"/>
      <c r="AG39" s="9"/>
      <c r="AH39" s="9"/>
      <c r="AI39" s="9"/>
      <c r="AK39" s="9"/>
      <c r="AM39" s="9"/>
      <c r="AN39" s="9"/>
      <c r="AO39" s="9"/>
      <c r="AP39" s="9"/>
      <c r="AQ39" s="9"/>
      <c r="AR39" s="9"/>
      <c r="AS39" s="9"/>
      <c r="AU39" s="9"/>
      <c r="AV39" s="9"/>
      <c r="BL39" s="9"/>
      <c r="BM39" s="9"/>
      <c r="BN39" s="9"/>
      <c r="BO39" s="20"/>
      <c r="BP39" s="20"/>
      <c r="BQ39" s="9"/>
      <c r="BR39" s="9"/>
      <c r="BX39" s="2"/>
      <c r="CH39" s="9"/>
      <c r="CI39" s="9"/>
    </row>
    <row r="40" spans="1:87">
      <c r="A40" s="13">
        <v>20455</v>
      </c>
      <c r="B40" s="12">
        <v>2767.37</v>
      </c>
      <c r="C40" s="9">
        <v>0</v>
      </c>
      <c r="D40" s="24">
        <v>2635</v>
      </c>
      <c r="E40" s="12">
        <v>15.917</v>
      </c>
      <c r="F40" s="12">
        <v>17.126000000000001</v>
      </c>
      <c r="G40" s="12">
        <v>54.618000000000002</v>
      </c>
      <c r="H40" s="34">
        <v>24.7</v>
      </c>
      <c r="I40" s="34">
        <v>441.4</v>
      </c>
      <c r="J40" s="35">
        <v>15.943</v>
      </c>
      <c r="K40" s="35">
        <v>31.356000000000002</v>
      </c>
      <c r="L40" s="35">
        <v>47.481999999999999</v>
      </c>
      <c r="M40" s="5">
        <v>-2.0206024551187522</v>
      </c>
      <c r="N40" s="5">
        <v>-0.75975739659965025</v>
      </c>
      <c r="O40" s="5"/>
      <c r="P40" s="6">
        <v>1</v>
      </c>
      <c r="Q40" s="6">
        <v>1</v>
      </c>
      <c r="R40" s="33">
        <v>1</v>
      </c>
      <c r="S40" s="5"/>
      <c r="T40" s="6"/>
      <c r="U40">
        <v>2.1127288497619855E-3</v>
      </c>
      <c r="V40" s="9">
        <v>-0.12899700000000003</v>
      </c>
      <c r="W40" s="38">
        <v>0</v>
      </c>
      <c r="X40" s="38"/>
      <c r="Z40" s="38"/>
      <c r="AA40" s="9">
        <v>0.7</v>
      </c>
      <c r="AB40" s="9">
        <v>0</v>
      </c>
      <c r="AC40" s="38">
        <v>3.1225840656447845E-2</v>
      </c>
      <c r="AD40" s="38">
        <v>1</v>
      </c>
      <c r="AE40" s="9"/>
      <c r="AF40" s="9"/>
      <c r="AG40" s="9"/>
      <c r="AH40" s="9"/>
      <c r="AI40" s="9"/>
      <c r="AK40" s="9"/>
      <c r="AM40" s="9"/>
      <c r="AN40" s="9"/>
      <c r="AO40" s="9"/>
      <c r="AP40" s="9"/>
      <c r="AQ40" s="9"/>
      <c r="AR40" s="9"/>
      <c r="AS40" s="9"/>
      <c r="AU40" s="9"/>
      <c r="AV40" s="9"/>
      <c r="BL40" s="9"/>
      <c r="BM40" s="9"/>
      <c r="BN40" s="9"/>
      <c r="BO40" s="20"/>
      <c r="BP40" s="20"/>
      <c r="BQ40" s="9"/>
      <c r="BR40" s="9"/>
      <c r="BX40" s="2"/>
      <c r="CH40" s="9"/>
      <c r="CI40" s="9"/>
    </row>
    <row r="41" spans="1:87">
      <c r="A41" s="13">
        <v>20546</v>
      </c>
      <c r="B41" s="12">
        <v>2790.19</v>
      </c>
      <c r="C41" s="9">
        <v>0</v>
      </c>
      <c r="D41" s="24">
        <v>2661</v>
      </c>
      <c r="E41" s="12">
        <v>16.012</v>
      </c>
      <c r="F41" s="12">
        <v>17.241</v>
      </c>
      <c r="G41" s="12">
        <v>54.737000000000002</v>
      </c>
      <c r="H41" s="34">
        <v>24.4</v>
      </c>
      <c r="I41" s="34">
        <v>448.5</v>
      </c>
      <c r="J41" s="35">
        <v>16.05</v>
      </c>
      <c r="K41" s="35">
        <v>31.498000000000001</v>
      </c>
      <c r="L41" s="35">
        <v>48.081000000000003</v>
      </c>
      <c r="M41" s="5">
        <v>1.6666429922764843</v>
      </c>
      <c r="N41" s="5">
        <v>2.9024529127939398</v>
      </c>
      <c r="O41" s="5"/>
      <c r="P41" s="6">
        <v>1</v>
      </c>
      <c r="Q41" s="6">
        <v>1</v>
      </c>
      <c r="R41" s="33">
        <v>1</v>
      </c>
      <c r="S41" s="5"/>
      <c r="T41" s="6"/>
      <c r="U41">
        <v>1.4009507145748754E-3</v>
      </c>
      <c r="V41" s="9">
        <v>-4.7709999999999697E-3</v>
      </c>
      <c r="W41" s="38">
        <v>0</v>
      </c>
      <c r="X41" s="38"/>
      <c r="Z41" s="38"/>
      <c r="AA41" s="9">
        <v>-0.2</v>
      </c>
      <c r="AB41" s="9">
        <v>0</v>
      </c>
      <c r="AC41" s="38">
        <v>6.5877026544388873E-2</v>
      </c>
      <c r="AD41" s="38">
        <v>1</v>
      </c>
      <c r="AE41" s="9"/>
      <c r="AF41" s="9"/>
      <c r="AG41" s="9"/>
      <c r="AH41" s="9"/>
      <c r="AI41" s="9"/>
      <c r="AK41" s="9"/>
      <c r="AM41" s="9"/>
      <c r="AN41" s="9"/>
      <c r="AO41" s="9"/>
      <c r="AP41" s="9"/>
      <c r="AQ41" s="9"/>
      <c r="AR41" s="9"/>
      <c r="AS41" s="9"/>
      <c r="AU41" s="9"/>
      <c r="AV41" s="9"/>
      <c r="BL41" s="9"/>
      <c r="BM41" s="9"/>
      <c r="BN41" s="9"/>
      <c r="BO41" s="20"/>
      <c r="BP41" s="20"/>
      <c r="BQ41" s="9"/>
      <c r="BR41" s="9"/>
      <c r="BX41" s="2"/>
      <c r="CH41" s="9"/>
      <c r="CI41" s="9"/>
    </row>
    <row r="42" spans="1:87">
      <c r="A42" s="13">
        <v>20637</v>
      </c>
      <c r="B42" s="12">
        <v>2787.91</v>
      </c>
      <c r="C42" s="9">
        <v>0</v>
      </c>
      <c r="D42" s="24">
        <v>2680</v>
      </c>
      <c r="E42" s="12">
        <v>16.212</v>
      </c>
      <c r="F42" s="12">
        <v>17.173999999999999</v>
      </c>
      <c r="G42" s="12">
        <v>54.518000000000001</v>
      </c>
      <c r="H42" s="34">
        <v>25.3</v>
      </c>
      <c r="I42" s="34">
        <v>454.6</v>
      </c>
      <c r="J42" s="35">
        <v>16.207000000000001</v>
      </c>
      <c r="K42" s="35">
        <v>31.501999999999999</v>
      </c>
      <c r="L42" s="35">
        <v>48.313000000000002</v>
      </c>
      <c r="M42" s="5">
        <v>-1.4123593029273362</v>
      </c>
      <c r="N42" s="5">
        <v>-0.76398446678221765</v>
      </c>
      <c r="O42" s="5"/>
      <c r="P42" s="6">
        <v>1</v>
      </c>
      <c r="Q42" s="6">
        <v>1</v>
      </c>
      <c r="R42" s="33">
        <v>1</v>
      </c>
      <c r="S42" s="5"/>
      <c r="T42" s="6"/>
      <c r="U42">
        <v>6.9096437676957117E-3</v>
      </c>
      <c r="V42" s="9">
        <v>0.13638699999999992</v>
      </c>
      <c r="W42" s="38">
        <v>0</v>
      </c>
      <c r="X42" s="38"/>
      <c r="Z42" s="38"/>
      <c r="AA42" s="9">
        <v>-0.1</v>
      </c>
      <c r="AB42" s="9">
        <v>0</v>
      </c>
      <c r="AC42" s="38">
        <v>5.0970276949426907E-2</v>
      </c>
      <c r="AD42" s="38">
        <v>1</v>
      </c>
      <c r="AE42" s="9"/>
      <c r="AF42" s="9"/>
      <c r="AG42" s="9"/>
      <c r="AH42" s="9"/>
      <c r="AI42" s="9"/>
      <c r="AK42" s="9"/>
      <c r="AM42" s="9"/>
      <c r="AN42" s="9"/>
      <c r="AO42" s="9"/>
      <c r="AP42" s="9"/>
      <c r="AQ42" s="9"/>
      <c r="AR42" s="9"/>
      <c r="AS42" s="9"/>
      <c r="AU42" s="9"/>
      <c r="AV42" s="9"/>
      <c r="BL42" s="9"/>
      <c r="BM42" s="9"/>
      <c r="BN42" s="9"/>
      <c r="BO42" s="20"/>
      <c r="BP42" s="20"/>
      <c r="BQ42" s="9"/>
      <c r="BR42" s="9"/>
      <c r="BX42" s="2"/>
      <c r="CH42" s="9"/>
      <c r="CI42" s="9"/>
    </row>
    <row r="43" spans="1:87">
      <c r="A43" s="13">
        <v>20729</v>
      </c>
      <c r="B43" s="12">
        <v>2833.5169999999998</v>
      </c>
      <c r="C43" s="9">
        <v>0</v>
      </c>
      <c r="D43" s="24">
        <v>2721</v>
      </c>
      <c r="E43" s="12">
        <v>16.279</v>
      </c>
      <c r="F43" s="12">
        <v>17.451000000000001</v>
      </c>
      <c r="G43" s="12">
        <v>54.819000000000003</v>
      </c>
      <c r="H43" s="34">
        <v>25</v>
      </c>
      <c r="I43" s="34">
        <v>464.3</v>
      </c>
      <c r="J43" s="35">
        <v>16.303000000000001</v>
      </c>
      <c r="K43" s="35">
        <v>31.834</v>
      </c>
      <c r="L43" s="35">
        <v>48.704999999999998</v>
      </c>
      <c r="M43" s="5">
        <v>6.634978997763131</v>
      </c>
      <c r="N43" s="5">
        <v>7.1267067999720357</v>
      </c>
      <c r="O43" s="5"/>
      <c r="P43" s="6">
        <v>1</v>
      </c>
      <c r="Q43" s="6">
        <v>1</v>
      </c>
      <c r="R43" s="33">
        <v>1</v>
      </c>
      <c r="S43" s="5"/>
      <c r="T43" s="6"/>
      <c r="U43">
        <v>1.1384503071063057E-3</v>
      </c>
      <c r="V43" s="9">
        <v>0.12603900000000012</v>
      </c>
      <c r="W43" s="38">
        <v>0</v>
      </c>
      <c r="X43" s="38"/>
      <c r="Z43" s="38"/>
      <c r="AA43" s="9">
        <v>0.5</v>
      </c>
      <c r="AB43" s="9">
        <v>0</v>
      </c>
      <c r="AC43" s="38">
        <v>6.0163755493249926E-2</v>
      </c>
      <c r="AD43" s="38">
        <v>1</v>
      </c>
      <c r="AE43" s="9"/>
      <c r="AF43" s="9"/>
      <c r="AG43" s="9"/>
      <c r="AH43" s="9"/>
      <c r="AI43" s="9"/>
      <c r="AK43" s="9"/>
      <c r="AM43" s="9"/>
      <c r="AN43" s="9"/>
      <c r="AO43" s="9"/>
      <c r="AP43" s="9"/>
      <c r="AQ43" s="9"/>
      <c r="AR43" s="9"/>
      <c r="AS43" s="9"/>
      <c r="AU43" s="9"/>
      <c r="AV43" s="9"/>
      <c r="BL43" s="9"/>
      <c r="BM43" s="9"/>
      <c r="BN43" s="9"/>
      <c r="BO43" s="20"/>
      <c r="BP43" s="20"/>
      <c r="BQ43" s="9"/>
      <c r="BR43" s="9"/>
      <c r="BX43" s="2"/>
      <c r="CH43" s="9"/>
      <c r="CI43" s="9"/>
    </row>
    <row r="44" spans="1:87">
      <c r="A44" s="13">
        <v>20821</v>
      </c>
      <c r="B44" s="12">
        <v>2851.7779999999998</v>
      </c>
      <c r="C44" s="9">
        <v>0</v>
      </c>
      <c r="D44" s="24">
        <v>2765</v>
      </c>
      <c r="E44" s="12">
        <v>16.501000000000001</v>
      </c>
      <c r="F44" s="12">
        <v>17.667000000000002</v>
      </c>
      <c r="G44" s="12">
        <v>54.868000000000002</v>
      </c>
      <c r="H44" s="34">
        <v>25.8</v>
      </c>
      <c r="I44" s="34">
        <v>471.8</v>
      </c>
      <c r="J44" s="35">
        <v>16.449000000000002</v>
      </c>
      <c r="K44" s="35">
        <v>32.198999999999998</v>
      </c>
      <c r="L44" s="35">
        <v>49.01</v>
      </c>
      <c r="M44" s="5">
        <v>8.2304110099539363E-2</v>
      </c>
      <c r="N44" s="5">
        <v>1.4277101059972965</v>
      </c>
      <c r="O44" s="5"/>
      <c r="P44" s="6">
        <v>1</v>
      </c>
      <c r="Q44" s="6">
        <v>1</v>
      </c>
      <c r="R44" s="33">
        <v>1</v>
      </c>
      <c r="S44" s="5"/>
      <c r="T44" s="6"/>
      <c r="U44">
        <v>0</v>
      </c>
      <c r="V44" s="9">
        <v>-4.1298999999999975E-2</v>
      </c>
      <c r="W44" s="38">
        <v>0</v>
      </c>
      <c r="X44" s="38"/>
      <c r="Z44" s="38"/>
      <c r="AA44" s="9">
        <v>2</v>
      </c>
      <c r="AB44" s="9">
        <v>0</v>
      </c>
      <c r="AC44" s="38">
        <v>7.7784038378951204E-2</v>
      </c>
      <c r="AD44" s="38">
        <v>1</v>
      </c>
      <c r="AE44" s="9"/>
      <c r="AF44" s="9"/>
      <c r="AG44" s="9"/>
      <c r="AH44" s="9"/>
      <c r="AI44" s="9"/>
      <c r="AK44" s="9"/>
      <c r="AM44" s="9"/>
      <c r="AN44" s="9"/>
      <c r="AO44" s="9"/>
      <c r="AP44" s="9"/>
      <c r="AQ44" s="9"/>
      <c r="AR44" s="9"/>
      <c r="AS44" s="9"/>
      <c r="AU44" s="9"/>
      <c r="AV44" s="9"/>
      <c r="BL44" s="9"/>
      <c r="BM44" s="9"/>
      <c r="BN44" s="9"/>
      <c r="BO44" s="20"/>
      <c r="BP44" s="20"/>
      <c r="BQ44" s="9"/>
      <c r="BR44" s="9"/>
      <c r="BX44" s="2"/>
      <c r="CH44" s="9"/>
      <c r="CI44" s="9"/>
    </row>
    <row r="45" spans="1:87">
      <c r="A45" s="13">
        <v>20911</v>
      </c>
      <c r="B45" s="12">
        <v>2845.453</v>
      </c>
      <c r="C45" s="9">
        <v>0</v>
      </c>
      <c r="D45" s="24">
        <v>2766</v>
      </c>
      <c r="E45" s="12">
        <v>16.617000000000001</v>
      </c>
      <c r="F45" s="12">
        <v>17.562999999999999</v>
      </c>
      <c r="G45" s="12">
        <v>54.752000000000002</v>
      </c>
      <c r="H45" s="34">
        <v>25.1</v>
      </c>
      <c r="I45" s="34">
        <v>474.7</v>
      </c>
      <c r="J45" s="35">
        <v>16.553000000000001</v>
      </c>
      <c r="K45" s="35">
        <v>32.078000000000003</v>
      </c>
      <c r="L45" s="35">
        <v>49.085000000000001</v>
      </c>
      <c r="M45" s="5">
        <v>-1.5324450687362283</v>
      </c>
      <c r="N45" s="5">
        <v>1.4109201562056315</v>
      </c>
      <c r="O45" s="5"/>
      <c r="P45" s="6">
        <v>1</v>
      </c>
      <c r="Q45" s="6">
        <v>1</v>
      </c>
      <c r="R45" s="33">
        <v>1</v>
      </c>
      <c r="S45" s="5"/>
      <c r="T45" s="6"/>
      <c r="U45">
        <v>5.2498896850524017E-3</v>
      </c>
      <c r="V45" s="9">
        <v>-0.13374500000000011</v>
      </c>
      <c r="W45" s="38">
        <v>0</v>
      </c>
      <c r="X45" s="38"/>
      <c r="Z45" s="38"/>
      <c r="AA45" s="9">
        <v>0</v>
      </c>
      <c r="AB45" s="9">
        <v>0</v>
      </c>
      <c r="AC45" s="38">
        <v>2.6458234886237886E-2</v>
      </c>
      <c r="AD45" s="38">
        <v>1</v>
      </c>
      <c r="AE45" s="9"/>
      <c r="AF45" s="9"/>
      <c r="AG45" s="9"/>
      <c r="AH45" s="9"/>
      <c r="AI45" s="9"/>
      <c r="AK45" s="9"/>
      <c r="AM45" s="9"/>
      <c r="AN45" s="9"/>
      <c r="AO45" s="9"/>
      <c r="AP45" s="9"/>
      <c r="AQ45" s="9"/>
      <c r="AR45" s="9"/>
      <c r="AS45" s="9"/>
      <c r="AU45" s="9"/>
      <c r="AV45" s="9"/>
      <c r="BL45" s="9"/>
      <c r="BM45" s="9"/>
      <c r="BN45" s="9"/>
      <c r="BO45" s="20"/>
      <c r="BP45" s="20"/>
      <c r="BQ45" s="9"/>
      <c r="BR45" s="9"/>
      <c r="BX45" s="2"/>
      <c r="CH45" s="9"/>
      <c r="CI45" s="9"/>
    </row>
    <row r="46" spans="1:87">
      <c r="A46" s="13">
        <v>21002</v>
      </c>
      <c r="B46" s="12">
        <v>2873.1689999999999</v>
      </c>
      <c r="C46" s="9">
        <v>1</v>
      </c>
      <c r="D46" s="24">
        <v>2798</v>
      </c>
      <c r="E46" s="12">
        <v>16.716999999999999</v>
      </c>
      <c r="F46" s="12">
        <v>17.728000000000002</v>
      </c>
      <c r="G46" s="12">
        <v>54.487000000000002</v>
      </c>
      <c r="H46" s="34">
        <v>24.7</v>
      </c>
      <c r="I46" s="34">
        <v>479.7</v>
      </c>
      <c r="J46" s="35">
        <v>16.687000000000001</v>
      </c>
      <c r="K46" s="35">
        <v>32.536000000000001</v>
      </c>
      <c r="L46" s="35">
        <v>49.295000000000002</v>
      </c>
      <c r="M46" s="5">
        <v>1.2759288375724185</v>
      </c>
      <c r="N46" s="5">
        <v>5.7182650579360903</v>
      </c>
      <c r="O46" s="5"/>
      <c r="P46" s="6">
        <v>1</v>
      </c>
      <c r="Q46" s="6">
        <v>1</v>
      </c>
      <c r="R46" s="33">
        <v>1</v>
      </c>
      <c r="S46" s="5"/>
      <c r="T46" s="6"/>
      <c r="U46">
        <v>0</v>
      </c>
      <c r="V46" s="9">
        <v>-2.0491000000000037E-2</v>
      </c>
      <c r="W46" s="38">
        <v>0</v>
      </c>
      <c r="X46" s="38"/>
      <c r="Z46" s="38"/>
      <c r="AA46" s="9">
        <v>-0.6</v>
      </c>
      <c r="AB46" s="9">
        <v>0</v>
      </c>
      <c r="AC46" s="38">
        <v>6.3948844508123548E-2</v>
      </c>
      <c r="AD46" s="38">
        <v>1</v>
      </c>
      <c r="AE46" s="9"/>
      <c r="AF46" s="9"/>
      <c r="AG46" s="9"/>
      <c r="AH46" s="9"/>
      <c r="AI46" s="9"/>
      <c r="AK46" s="9"/>
      <c r="AM46" s="9"/>
      <c r="AN46" s="9"/>
      <c r="AO46" s="9"/>
      <c r="AP46" s="9"/>
      <c r="AQ46" s="9"/>
      <c r="AR46" s="9"/>
      <c r="AS46" s="9"/>
      <c r="AU46" s="9"/>
      <c r="AV46" s="9"/>
      <c r="BL46" s="9"/>
      <c r="BM46" s="9"/>
      <c r="BN46" s="9"/>
      <c r="BO46" s="20"/>
      <c r="BP46" s="20"/>
      <c r="BQ46" s="9"/>
      <c r="BR46" s="9"/>
      <c r="BX46" s="2"/>
      <c r="CH46" s="9"/>
      <c r="CI46" s="9"/>
    </row>
    <row r="47" spans="1:87">
      <c r="A47" s="13">
        <v>21094</v>
      </c>
      <c r="B47" s="12">
        <v>2843.7179999999998</v>
      </c>
      <c r="C47" s="9">
        <v>1</v>
      </c>
      <c r="D47" s="24">
        <v>2758</v>
      </c>
      <c r="E47" s="12">
        <v>16.727</v>
      </c>
      <c r="F47" s="12">
        <v>17.417000000000002</v>
      </c>
      <c r="G47" s="12">
        <v>53.357999999999997</v>
      </c>
      <c r="H47" s="34">
        <v>22.8</v>
      </c>
      <c r="I47" s="34">
        <v>474.8</v>
      </c>
      <c r="J47" s="35">
        <v>16.773</v>
      </c>
      <c r="K47" s="35">
        <v>32.642000000000003</v>
      </c>
      <c r="L47" s="35">
        <v>49.720999999999997</v>
      </c>
      <c r="M47" s="5">
        <v>-0.31404383339455721</v>
      </c>
      <c r="N47" s="5">
        <v>4.3207269197392009</v>
      </c>
      <c r="O47" s="5"/>
      <c r="P47" s="6">
        <v>1</v>
      </c>
      <c r="Q47" s="6">
        <v>1</v>
      </c>
      <c r="R47" s="33">
        <v>1</v>
      </c>
      <c r="S47" s="5"/>
      <c r="T47" s="6"/>
      <c r="U47">
        <v>2.2084863235431951E-2</v>
      </c>
      <c r="V47" s="9">
        <v>0.16594600000000004</v>
      </c>
      <c r="W47" s="38">
        <v>0</v>
      </c>
      <c r="X47" s="38"/>
      <c r="Z47" s="38"/>
      <c r="AA47" s="9">
        <v>0.1</v>
      </c>
      <c r="AB47" s="9">
        <v>0</v>
      </c>
      <c r="AC47" s="38">
        <v>1.1262661368242721E-2</v>
      </c>
      <c r="AD47" s="38">
        <v>1</v>
      </c>
      <c r="AE47" s="9"/>
      <c r="AF47" s="9"/>
      <c r="AG47" s="9"/>
      <c r="AH47" s="9"/>
      <c r="AI47" s="9"/>
      <c r="AK47" s="9"/>
      <c r="AM47" s="9"/>
      <c r="AN47" s="9"/>
      <c r="AO47" s="9"/>
      <c r="AP47" s="9"/>
      <c r="AQ47" s="9"/>
      <c r="AR47" s="9"/>
      <c r="AS47" s="9"/>
      <c r="AU47" s="9"/>
      <c r="AV47" s="9"/>
      <c r="BL47" s="9"/>
      <c r="BM47" s="9"/>
      <c r="BN47" s="9"/>
      <c r="BO47" s="20"/>
      <c r="BP47" s="20"/>
      <c r="BQ47" s="9"/>
      <c r="BR47" s="9"/>
      <c r="BX47" s="2"/>
      <c r="CH47" s="9"/>
      <c r="CI47" s="9"/>
    </row>
    <row r="48" spans="1:87">
      <c r="A48" s="13">
        <v>21186</v>
      </c>
      <c r="B48" s="12">
        <v>2770</v>
      </c>
      <c r="C48" s="9">
        <v>1</v>
      </c>
      <c r="D48" s="24">
        <v>2705</v>
      </c>
      <c r="E48" s="12">
        <v>16.908000000000001</v>
      </c>
      <c r="F48" s="12">
        <v>16.786999999999999</v>
      </c>
      <c r="G48" s="12">
        <v>52.15</v>
      </c>
      <c r="H48" s="34">
        <v>20</v>
      </c>
      <c r="I48" s="34">
        <v>469.6</v>
      </c>
      <c r="J48" s="35">
        <v>16.978000000000002</v>
      </c>
      <c r="K48" s="35">
        <v>32.19</v>
      </c>
      <c r="L48" s="35">
        <v>49.164999999999999</v>
      </c>
      <c r="M48" s="5">
        <v>-6.4337972536784296</v>
      </c>
      <c r="N48" s="5">
        <v>-3.6295371313447902</v>
      </c>
      <c r="O48" s="5"/>
      <c r="P48" s="6">
        <v>1</v>
      </c>
      <c r="Q48" s="6">
        <v>1</v>
      </c>
      <c r="R48" s="33">
        <v>1</v>
      </c>
      <c r="S48" s="5"/>
      <c r="T48" s="6"/>
      <c r="U48">
        <v>1.5167698133338476E-3</v>
      </c>
      <c r="V48" s="9">
        <v>-2.317199999999997E-2</v>
      </c>
      <c r="W48" s="38">
        <v>0</v>
      </c>
      <c r="X48" s="38"/>
      <c r="Z48" s="38"/>
      <c r="AA48" s="9">
        <v>1.7</v>
      </c>
      <c r="AB48" s="9">
        <v>0</v>
      </c>
      <c r="AC48" s="38">
        <v>5.4101034654766123E-2</v>
      </c>
      <c r="AD48" s="38">
        <v>1</v>
      </c>
      <c r="AE48" s="9"/>
      <c r="AF48" s="9"/>
      <c r="AG48" s="9"/>
      <c r="AH48" s="9"/>
      <c r="AI48" s="9"/>
      <c r="AK48" s="9"/>
      <c r="AM48" s="9"/>
      <c r="AN48" s="9"/>
      <c r="AO48" s="9"/>
      <c r="AP48" s="9"/>
      <c r="AQ48" s="9"/>
      <c r="AR48" s="9"/>
      <c r="AS48" s="9"/>
      <c r="AU48" s="9"/>
      <c r="AV48" s="9"/>
      <c r="BL48" s="9"/>
      <c r="BM48" s="9"/>
      <c r="BN48" s="9"/>
      <c r="BO48" s="20"/>
      <c r="BP48" s="20"/>
      <c r="BQ48" s="9"/>
      <c r="BR48" s="9"/>
      <c r="BX48" s="2"/>
      <c r="CH48" s="9"/>
      <c r="CI48" s="9"/>
    </row>
    <row r="49" spans="1:87">
      <c r="A49" s="13">
        <v>21276</v>
      </c>
      <c r="B49" s="12">
        <v>2788.2779999999998</v>
      </c>
      <c r="C49" s="9">
        <v>1</v>
      </c>
      <c r="D49" s="24">
        <v>2721</v>
      </c>
      <c r="E49" s="12">
        <v>16.956</v>
      </c>
      <c r="F49" s="12">
        <v>16.872</v>
      </c>
      <c r="G49" s="12">
        <v>51.402000000000001</v>
      </c>
      <c r="H49" s="34">
        <v>20.8</v>
      </c>
      <c r="I49" s="34">
        <v>472.3</v>
      </c>
      <c r="J49" s="35">
        <v>17.009</v>
      </c>
      <c r="K49" s="35">
        <v>32.823</v>
      </c>
      <c r="L49" s="35">
        <v>49.256</v>
      </c>
      <c r="M49" s="5">
        <v>2.8151299361729332</v>
      </c>
      <c r="N49" s="5">
        <v>1.9638207882059839</v>
      </c>
      <c r="O49" s="5"/>
      <c r="P49" s="6">
        <v>1</v>
      </c>
      <c r="Q49" s="6">
        <v>1</v>
      </c>
      <c r="R49" s="33">
        <v>1</v>
      </c>
      <c r="S49" s="5"/>
      <c r="T49" s="6"/>
      <c r="U49">
        <v>0</v>
      </c>
      <c r="V49" s="9">
        <v>-2.5799000000000016E-2</v>
      </c>
      <c r="W49" s="38">
        <v>0</v>
      </c>
      <c r="X49" s="38"/>
      <c r="Z49" s="38"/>
      <c r="AA49" s="9">
        <v>-2.5</v>
      </c>
      <c r="AB49" s="9">
        <v>0</v>
      </c>
      <c r="AC49" s="38">
        <v>1.5786828936650954E-2</v>
      </c>
      <c r="AD49" s="38">
        <v>1</v>
      </c>
      <c r="AE49" s="9"/>
      <c r="AF49" s="9"/>
      <c r="AG49" s="9"/>
      <c r="AH49" s="9"/>
      <c r="AI49" s="9"/>
      <c r="AK49" s="9"/>
      <c r="AM49" s="9"/>
      <c r="AN49" s="9"/>
      <c r="AO49" s="9"/>
      <c r="AP49" s="9"/>
      <c r="AQ49" s="9"/>
      <c r="AR49" s="9"/>
      <c r="AS49" s="9"/>
      <c r="AU49" s="9"/>
      <c r="AV49" s="9"/>
      <c r="BL49" s="9"/>
      <c r="BM49" s="9"/>
      <c r="BN49" s="9"/>
      <c r="BO49" s="20"/>
      <c r="BP49" s="20"/>
      <c r="BQ49" s="9"/>
      <c r="BR49" s="9"/>
      <c r="BX49" s="2"/>
      <c r="CH49" s="9"/>
      <c r="CI49" s="9"/>
    </row>
    <row r="50" spans="1:87">
      <c r="A50" s="13">
        <v>21367</v>
      </c>
      <c r="B50" s="12">
        <v>2852.741</v>
      </c>
      <c r="C50" s="9">
        <v>0</v>
      </c>
      <c r="D50" s="24">
        <v>2788</v>
      </c>
      <c r="E50" s="12">
        <v>17.059000000000001</v>
      </c>
      <c r="F50" s="12">
        <v>17.391999999999999</v>
      </c>
      <c r="G50" s="12">
        <v>52.015000000000001</v>
      </c>
      <c r="H50" s="34">
        <v>22.9</v>
      </c>
      <c r="I50" s="34">
        <v>485.6</v>
      </c>
      <c r="J50" s="35">
        <v>17.021999999999998</v>
      </c>
      <c r="K50" s="35">
        <v>33.436999999999998</v>
      </c>
      <c r="L50" s="35">
        <v>50.432000000000002</v>
      </c>
      <c r="M50" s="5">
        <v>7.1183010307631172</v>
      </c>
      <c r="N50" s="5">
        <v>2.2252993863163102</v>
      </c>
      <c r="O50" s="5"/>
      <c r="P50" s="6">
        <v>1</v>
      </c>
      <c r="Q50" s="6">
        <v>1</v>
      </c>
      <c r="R50" s="33">
        <v>1</v>
      </c>
      <c r="S50" s="5"/>
      <c r="T50" s="6"/>
      <c r="U50">
        <v>0</v>
      </c>
      <c r="V50" s="9">
        <v>-9.748699999999999E-2</v>
      </c>
      <c r="W50" s="38">
        <v>-0.105999576</v>
      </c>
      <c r="X50" s="38"/>
      <c r="Z50" s="38"/>
      <c r="AA50" s="9">
        <v>2.2000000000000002</v>
      </c>
      <c r="AB50" s="9">
        <v>0</v>
      </c>
      <c r="AC50" s="38">
        <v>-8.7325440883907479E-3</v>
      </c>
      <c r="AD50" s="38">
        <v>1</v>
      </c>
      <c r="AE50" s="9"/>
      <c r="AF50" s="9"/>
      <c r="AG50" s="9"/>
      <c r="AH50" s="9"/>
      <c r="AI50" s="9"/>
      <c r="AK50" s="9"/>
      <c r="AM50" s="9"/>
      <c r="AN50" s="9"/>
      <c r="AO50" s="9"/>
      <c r="AP50" s="9"/>
      <c r="AQ50" s="9"/>
      <c r="AR50" s="9"/>
      <c r="AS50" s="9"/>
      <c r="AU50" s="9"/>
      <c r="AV50" s="9"/>
      <c r="BL50" s="9"/>
      <c r="BM50" s="9"/>
      <c r="BN50" s="9"/>
      <c r="BO50" s="20"/>
      <c r="BP50" s="20"/>
      <c r="BQ50" s="9"/>
      <c r="BR50" s="9"/>
      <c r="BX50" s="2"/>
      <c r="CH50" s="9"/>
      <c r="CI50" s="9"/>
    </row>
    <row r="51" spans="1:87">
      <c r="A51" s="13">
        <v>21459</v>
      </c>
      <c r="B51" s="12">
        <v>2919.47</v>
      </c>
      <c r="C51" s="9">
        <v>0</v>
      </c>
      <c r="D51" s="24">
        <v>2854</v>
      </c>
      <c r="E51" s="12">
        <v>17.138999999999999</v>
      </c>
      <c r="F51" s="12">
        <v>17.95</v>
      </c>
      <c r="G51" s="12">
        <v>52.790999999999997</v>
      </c>
      <c r="H51" s="34">
        <v>25.8</v>
      </c>
      <c r="I51" s="34">
        <v>498.3</v>
      </c>
      <c r="J51" s="35">
        <v>17.018000000000001</v>
      </c>
      <c r="K51" s="35">
        <v>34.002000000000002</v>
      </c>
      <c r="L51" s="35">
        <v>50.581000000000003</v>
      </c>
      <c r="M51" s="5">
        <v>5.3183378914695156</v>
      </c>
      <c r="N51" s="5">
        <v>-2.5196434861964088</v>
      </c>
      <c r="O51" s="5"/>
      <c r="P51" s="6">
        <v>1</v>
      </c>
      <c r="Q51" s="6">
        <v>1</v>
      </c>
      <c r="R51" s="33">
        <v>1</v>
      </c>
      <c r="S51" s="5"/>
      <c r="T51" s="6"/>
      <c r="U51">
        <v>0</v>
      </c>
      <c r="V51" s="9">
        <v>-1.4849000000000001E-2</v>
      </c>
      <c r="W51" s="38">
        <v>0</v>
      </c>
      <c r="X51" s="38"/>
      <c r="Z51" s="38"/>
      <c r="AA51" s="9">
        <v>0.1</v>
      </c>
      <c r="AB51" s="9">
        <v>0</v>
      </c>
      <c r="AC51" s="38">
        <v>9.0261197999794707E-3</v>
      </c>
      <c r="AD51" s="38">
        <v>1</v>
      </c>
      <c r="AE51" s="9"/>
      <c r="AF51" s="9"/>
      <c r="AG51" s="9"/>
      <c r="AH51" s="9"/>
      <c r="AI51" s="9"/>
      <c r="AK51" s="9"/>
      <c r="AM51" s="9"/>
      <c r="AN51" s="9"/>
      <c r="AO51" s="9"/>
      <c r="AP51" s="9"/>
      <c r="AQ51" s="9"/>
      <c r="AR51" s="9"/>
      <c r="AS51" s="9"/>
      <c r="AU51" s="9"/>
      <c r="AV51" s="9"/>
      <c r="BL51" s="9"/>
      <c r="BM51" s="19"/>
      <c r="BN51" s="9"/>
      <c r="BO51" s="20"/>
      <c r="BP51" s="20"/>
      <c r="BQ51" s="9"/>
      <c r="BR51" s="9"/>
      <c r="BX51" s="2"/>
      <c r="CH51" s="9"/>
      <c r="CI51" s="9"/>
    </row>
    <row r="52" spans="1:87">
      <c r="A52" s="13">
        <v>21551</v>
      </c>
      <c r="B52" s="12">
        <v>2973.7820000000002</v>
      </c>
      <c r="C52" s="9">
        <v>0</v>
      </c>
      <c r="D52" s="24">
        <v>2903</v>
      </c>
      <c r="E52" s="12">
        <v>17.186</v>
      </c>
      <c r="F52" s="12">
        <v>18.309999999999999</v>
      </c>
      <c r="G52" s="12">
        <v>53.813000000000002</v>
      </c>
      <c r="H52" s="34">
        <v>28.3</v>
      </c>
      <c r="I52" s="34">
        <v>511</v>
      </c>
      <c r="J52" s="35">
        <v>17.137</v>
      </c>
      <c r="K52" s="35">
        <v>34.026000000000003</v>
      </c>
      <c r="L52" s="35">
        <v>50.99</v>
      </c>
      <c r="M52" s="5">
        <v>5.3464336353675801</v>
      </c>
      <c r="N52" s="5">
        <v>-2.9693775601880166</v>
      </c>
      <c r="O52" s="5"/>
      <c r="P52" s="6">
        <v>1</v>
      </c>
      <c r="Q52" s="6">
        <v>1</v>
      </c>
      <c r="R52" s="33">
        <v>1</v>
      </c>
      <c r="S52" s="5"/>
      <c r="T52" s="6"/>
      <c r="U52">
        <v>3.0929929804957325E-3</v>
      </c>
      <c r="V52" s="9">
        <v>9.8129999999999939E-2</v>
      </c>
      <c r="W52" s="38">
        <v>0</v>
      </c>
      <c r="X52" s="38"/>
      <c r="Z52" s="38"/>
      <c r="AA52" s="9">
        <v>1.3</v>
      </c>
      <c r="AB52" s="9">
        <v>0</v>
      </c>
      <c r="AC52" s="38">
        <v>4.4737847737463809E-3</v>
      </c>
      <c r="AD52" s="38">
        <v>1</v>
      </c>
      <c r="AE52" s="9"/>
      <c r="AF52" s="9"/>
      <c r="AG52" s="9"/>
      <c r="AH52" s="9"/>
      <c r="AI52" s="9"/>
      <c r="AK52" s="9"/>
      <c r="AM52" s="9"/>
      <c r="AN52" s="9"/>
      <c r="AO52" s="9"/>
      <c r="AP52" s="9"/>
      <c r="AQ52" s="9"/>
      <c r="AR52" s="9"/>
      <c r="AS52" s="9"/>
      <c r="AU52" s="9"/>
      <c r="AV52" s="9"/>
      <c r="AW52" s="15"/>
      <c r="BL52" s="9"/>
      <c r="BM52" s="9"/>
      <c r="BN52" s="9"/>
      <c r="BO52" s="20"/>
      <c r="BP52" s="20"/>
      <c r="BQ52" s="9"/>
      <c r="BR52" s="9"/>
      <c r="BX52" s="2"/>
      <c r="CH52" s="9"/>
      <c r="CI52" s="9"/>
    </row>
    <row r="53" spans="1:87">
      <c r="A53" s="13">
        <v>21641</v>
      </c>
      <c r="B53" s="12">
        <v>3046.096</v>
      </c>
      <c r="C53" s="9">
        <v>0</v>
      </c>
      <c r="D53" s="24">
        <v>2966</v>
      </c>
      <c r="E53" s="12">
        <v>17.21</v>
      </c>
      <c r="F53" s="12">
        <v>18.881</v>
      </c>
      <c r="G53" s="12">
        <v>54.841999999999999</v>
      </c>
      <c r="H53" s="34">
        <v>30.8</v>
      </c>
      <c r="I53" s="34">
        <v>525.70000000000005</v>
      </c>
      <c r="J53" s="35">
        <v>17.204000000000001</v>
      </c>
      <c r="K53" s="35">
        <v>34.427999999999997</v>
      </c>
      <c r="L53" s="35">
        <v>51.32</v>
      </c>
      <c r="M53" s="5">
        <v>4.5804187780357841</v>
      </c>
      <c r="N53" s="5">
        <v>-1.1916187433529828</v>
      </c>
      <c r="O53" s="5"/>
      <c r="P53" s="6">
        <v>1</v>
      </c>
      <c r="Q53" s="6">
        <v>1</v>
      </c>
      <c r="R53" s="33">
        <v>1</v>
      </c>
      <c r="S53" s="5"/>
      <c r="T53" s="6"/>
      <c r="U53">
        <v>0</v>
      </c>
      <c r="V53" s="9">
        <v>-6.3693E-2</v>
      </c>
      <c r="W53" s="38">
        <v>0</v>
      </c>
      <c r="X53" s="38"/>
      <c r="Z53" s="38"/>
      <c r="AA53" s="9">
        <v>1.5</v>
      </c>
      <c r="AB53" s="9">
        <v>0</v>
      </c>
      <c r="AC53" s="38">
        <v>5.3638411903771166E-2</v>
      </c>
      <c r="AD53" s="38">
        <v>0</v>
      </c>
      <c r="AE53" s="9"/>
      <c r="AF53" s="9"/>
      <c r="AG53" s="9"/>
      <c r="AH53" s="9"/>
      <c r="AI53" s="9"/>
      <c r="AK53" s="9"/>
      <c r="AM53" s="9"/>
      <c r="AN53" s="9"/>
      <c r="AO53" s="9"/>
      <c r="AP53" s="9"/>
      <c r="AQ53" s="9"/>
      <c r="AR53" s="9"/>
      <c r="AS53" s="9"/>
      <c r="AU53" s="9"/>
      <c r="AV53" s="9"/>
      <c r="AW53" s="15"/>
      <c r="BL53" s="9"/>
      <c r="BM53" s="9"/>
      <c r="BN53" s="9"/>
      <c r="BO53" s="20"/>
      <c r="BP53" s="20"/>
      <c r="BQ53" s="9"/>
      <c r="BR53" s="9"/>
      <c r="BX53" s="2"/>
      <c r="CH53" s="9"/>
      <c r="CI53" s="9"/>
    </row>
    <row r="54" spans="1:87">
      <c r="A54" s="13">
        <v>21732</v>
      </c>
      <c r="B54" s="12">
        <v>3040.2350000000001</v>
      </c>
      <c r="C54" s="9">
        <v>0</v>
      </c>
      <c r="D54" s="24">
        <v>2959</v>
      </c>
      <c r="E54" s="12">
        <v>17.274999999999999</v>
      </c>
      <c r="F54" s="12">
        <v>18.788</v>
      </c>
      <c r="G54" s="12">
        <v>54.680999999999997</v>
      </c>
      <c r="H54" s="34">
        <v>28.3</v>
      </c>
      <c r="I54" s="34">
        <v>523.4</v>
      </c>
      <c r="J54" s="35">
        <v>17.306999999999999</v>
      </c>
      <c r="K54" s="35">
        <v>34.359000000000002</v>
      </c>
      <c r="L54" s="35">
        <v>51.356999999999999</v>
      </c>
      <c r="M54" s="5">
        <v>-2.2176006668965544</v>
      </c>
      <c r="N54" s="5">
        <v>-3.5303309383271819</v>
      </c>
      <c r="O54" s="5"/>
      <c r="P54" s="6">
        <v>1</v>
      </c>
      <c r="Q54" s="6">
        <v>1</v>
      </c>
      <c r="R54" s="33">
        <v>1</v>
      </c>
      <c r="S54" s="5"/>
      <c r="T54" s="6"/>
      <c r="U54">
        <v>0</v>
      </c>
      <c r="V54" s="9">
        <v>-0.21338799999999991</v>
      </c>
      <c r="W54" s="38">
        <v>0</v>
      </c>
      <c r="X54" s="38"/>
      <c r="Z54" s="38"/>
      <c r="AA54" s="9">
        <v>2</v>
      </c>
      <c r="AB54" s="9">
        <v>0</v>
      </c>
      <c r="AC54" s="38">
        <v>4.4416700785534946E-2</v>
      </c>
      <c r="AD54" s="38">
        <v>0</v>
      </c>
      <c r="AE54" s="9"/>
      <c r="AF54" s="9"/>
      <c r="AG54" s="9"/>
      <c r="AH54" s="9"/>
      <c r="AI54" s="9"/>
      <c r="AK54" s="9"/>
      <c r="AM54" s="9"/>
      <c r="AN54" s="9"/>
      <c r="AO54" s="9"/>
      <c r="AP54" s="9"/>
      <c r="AQ54" s="9"/>
      <c r="AR54" s="9"/>
      <c r="AS54" s="9"/>
      <c r="AU54" s="9"/>
      <c r="AV54" s="9"/>
      <c r="AW54" s="15"/>
      <c r="BL54" s="9"/>
      <c r="BM54" s="9"/>
      <c r="BN54" s="9"/>
      <c r="BO54" s="20"/>
      <c r="BP54" s="20"/>
      <c r="BQ54" s="9"/>
      <c r="BR54" s="9"/>
      <c r="BX54" s="2"/>
      <c r="CH54" s="9"/>
      <c r="CI54" s="9"/>
    </row>
    <row r="55" spans="1:87">
      <c r="A55" s="13">
        <v>21824</v>
      </c>
      <c r="B55" s="12">
        <v>3052.194</v>
      </c>
      <c r="C55" s="9">
        <v>0</v>
      </c>
      <c r="D55" s="24">
        <v>2969</v>
      </c>
      <c r="E55" s="12">
        <v>17.341999999999999</v>
      </c>
      <c r="F55" s="12">
        <v>18.757999999999999</v>
      </c>
      <c r="G55" s="12">
        <v>54.689</v>
      </c>
      <c r="H55" s="34">
        <v>28.9</v>
      </c>
      <c r="I55" s="34">
        <v>529.1</v>
      </c>
      <c r="J55" s="35">
        <v>17.401</v>
      </c>
      <c r="K55" s="35">
        <v>34.299999999999997</v>
      </c>
      <c r="L55" s="35">
        <v>51.540999999999997</v>
      </c>
      <c r="M55" s="5">
        <v>0.30316692411660695</v>
      </c>
      <c r="N55" s="5">
        <v>3.8605395339011217</v>
      </c>
      <c r="O55" s="5"/>
      <c r="P55" s="6">
        <v>1</v>
      </c>
      <c r="Q55" s="6">
        <v>1</v>
      </c>
      <c r="R55" s="33">
        <v>1</v>
      </c>
      <c r="S55" s="5"/>
      <c r="T55" s="6"/>
      <c r="U55">
        <v>0</v>
      </c>
      <c r="V55" s="9">
        <v>6.1502999999999974E-2</v>
      </c>
      <c r="W55" s="38">
        <v>0.116913484</v>
      </c>
      <c r="X55" s="38"/>
      <c r="Z55" s="38"/>
      <c r="AA55" s="9">
        <v>2.4</v>
      </c>
      <c r="AB55" s="9">
        <v>0</v>
      </c>
      <c r="AC55" s="38">
        <v>0.10920810674373382</v>
      </c>
      <c r="AD55" s="38">
        <v>0</v>
      </c>
      <c r="AE55" s="9"/>
      <c r="AF55" s="9"/>
      <c r="AG55" s="9"/>
      <c r="AH55" s="9"/>
      <c r="AI55" s="9"/>
      <c r="AK55" s="9"/>
      <c r="AM55" s="9"/>
      <c r="AN55" s="9"/>
      <c r="AO55" s="9"/>
      <c r="AP55" s="9"/>
      <c r="AQ55" s="9"/>
      <c r="AR55" s="9"/>
      <c r="AS55" s="9"/>
      <c r="AU55" s="9"/>
      <c r="AV55" s="9"/>
      <c r="AW55" s="15"/>
      <c r="BL55" s="9"/>
      <c r="BM55" s="9"/>
      <c r="BN55" s="9"/>
      <c r="BO55" s="20"/>
      <c r="BP55" s="20"/>
      <c r="BQ55" s="9"/>
      <c r="BR55" s="19"/>
      <c r="BX55" s="2"/>
      <c r="CH55" s="9"/>
      <c r="CI55" s="9"/>
    </row>
    <row r="56" spans="1:87">
      <c r="A56" s="13">
        <v>21916</v>
      </c>
      <c r="B56" s="12">
        <v>3120.1950000000002</v>
      </c>
      <c r="C56" s="9">
        <v>0</v>
      </c>
      <c r="D56" s="24">
        <v>3024</v>
      </c>
      <c r="E56" s="12">
        <v>17.414000000000001</v>
      </c>
      <c r="F56" s="12">
        <v>19.312000000000001</v>
      </c>
      <c r="G56" s="12">
        <v>55.027000000000001</v>
      </c>
      <c r="H56" s="34">
        <v>30.4</v>
      </c>
      <c r="I56" s="34">
        <v>543.1</v>
      </c>
      <c r="J56" s="35">
        <v>17.423999999999999</v>
      </c>
      <c r="K56" s="35">
        <v>35.095999999999997</v>
      </c>
      <c r="L56" s="35">
        <v>52.6</v>
      </c>
      <c r="M56" s="5">
        <v>8.8340289938921384</v>
      </c>
      <c r="N56" s="5">
        <v>15.829957860629801</v>
      </c>
      <c r="O56" s="5">
        <v>1.8686882557940008</v>
      </c>
      <c r="P56" s="6">
        <v>1</v>
      </c>
      <c r="Q56" s="6">
        <v>1</v>
      </c>
      <c r="R56" s="33">
        <v>1</v>
      </c>
      <c r="S56" s="5"/>
      <c r="T56" s="6"/>
      <c r="U56">
        <v>0</v>
      </c>
      <c r="V56" s="9">
        <v>-6.5045000000000019E-2</v>
      </c>
      <c r="W56" s="38">
        <v>0.36059973400000001</v>
      </c>
      <c r="X56" s="38">
        <v>100</v>
      </c>
      <c r="Y56" s="38">
        <v>100.3</v>
      </c>
      <c r="Z56" s="38">
        <v>105.3</v>
      </c>
      <c r="AA56" s="9">
        <v>2.4</v>
      </c>
      <c r="AB56" s="9">
        <v>0</v>
      </c>
      <c r="AC56" s="38">
        <v>8.7803005606233997E-2</v>
      </c>
      <c r="AD56" s="38">
        <v>0</v>
      </c>
      <c r="AE56" s="9"/>
      <c r="AF56" s="9"/>
      <c r="AG56" s="9"/>
      <c r="AH56" s="9"/>
      <c r="AI56" s="9"/>
      <c r="AK56" s="9"/>
      <c r="AM56" s="9"/>
      <c r="AN56" s="9"/>
      <c r="AO56" s="9"/>
      <c r="AP56" s="9"/>
      <c r="AQ56" s="9"/>
      <c r="AR56" s="9"/>
      <c r="AS56" s="9"/>
      <c r="AU56" s="9"/>
      <c r="AV56" s="9"/>
      <c r="AW56" s="15"/>
      <c r="AX56" s="9"/>
      <c r="BC56" s="9"/>
      <c r="BD56" s="9"/>
      <c r="BE56" s="9"/>
      <c r="BF56" s="9"/>
      <c r="BG56" s="9"/>
      <c r="BL56" s="9"/>
      <c r="BM56" s="9"/>
      <c r="BN56" s="9"/>
      <c r="BO56" s="20"/>
      <c r="BP56" s="20"/>
      <c r="BQ56" s="9"/>
      <c r="BR56" s="9"/>
      <c r="BX56" s="2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</row>
    <row r="57" spans="1:87">
      <c r="A57" s="13">
        <v>22007</v>
      </c>
      <c r="B57" s="12">
        <v>3108.3609999999999</v>
      </c>
      <c r="C57" s="9">
        <v>1</v>
      </c>
      <c r="D57" s="24">
        <v>3009</v>
      </c>
      <c r="E57" s="12">
        <v>17.459</v>
      </c>
      <c r="F57" s="12">
        <v>19.085000000000001</v>
      </c>
      <c r="G57" s="12">
        <v>55.124000000000002</v>
      </c>
      <c r="H57" s="34">
        <v>28.6</v>
      </c>
      <c r="I57" s="34">
        <v>544.29999999999995</v>
      </c>
      <c r="J57" s="35">
        <v>17.515000000000001</v>
      </c>
      <c r="K57" s="35">
        <v>34.622</v>
      </c>
      <c r="L57" s="35">
        <v>52.621000000000002</v>
      </c>
      <c r="M57" s="5">
        <v>-6.9845800096151631</v>
      </c>
      <c r="N57" s="5">
        <v>0.78665892362830547</v>
      </c>
      <c r="O57" s="5">
        <v>1.7259034827258837</v>
      </c>
      <c r="P57" s="6">
        <v>1</v>
      </c>
      <c r="Q57" s="6">
        <v>1</v>
      </c>
      <c r="R57" s="33">
        <v>1</v>
      </c>
      <c r="S57" s="5"/>
      <c r="T57" s="6"/>
      <c r="U57">
        <v>5.5030758939842135E-3</v>
      </c>
      <c r="V57" s="9">
        <v>7.7517000000000058E-2</v>
      </c>
      <c r="W57" s="38">
        <v>0</v>
      </c>
      <c r="X57" s="38">
        <v>93.3</v>
      </c>
      <c r="Y57" s="38">
        <v>92.3</v>
      </c>
      <c r="Z57" s="38">
        <v>99.3</v>
      </c>
      <c r="AA57" s="9">
        <v>-1</v>
      </c>
      <c r="AB57" s="9">
        <v>0</v>
      </c>
      <c r="AC57" s="38">
        <v>0.10676911416555823</v>
      </c>
      <c r="AD57" s="38">
        <v>0</v>
      </c>
      <c r="AE57" s="9"/>
      <c r="AF57" s="9"/>
      <c r="AG57" s="9"/>
      <c r="AH57" s="9"/>
      <c r="AI57" s="42">
        <v>1.372601598085665</v>
      </c>
      <c r="AJ57" s="42">
        <v>0.87859134638524061</v>
      </c>
      <c r="AK57" s="9"/>
      <c r="AM57" s="9"/>
      <c r="AN57" s="9"/>
      <c r="AO57" s="9"/>
      <c r="AP57" s="9"/>
      <c r="AQ57" s="9"/>
      <c r="AR57" s="9"/>
      <c r="AS57" s="9"/>
      <c r="AU57" s="9"/>
      <c r="AV57" s="9"/>
      <c r="AW57" s="15"/>
      <c r="AX57" s="9"/>
      <c r="BC57" s="9"/>
      <c r="BD57" s="9"/>
      <c r="BE57" s="9"/>
      <c r="BF57" s="9"/>
      <c r="BG57" s="9"/>
      <c r="BL57" s="9"/>
      <c r="BM57" s="9"/>
      <c r="BN57" s="9"/>
      <c r="BO57" s="20"/>
      <c r="BP57" s="20"/>
      <c r="BQ57" s="9"/>
      <c r="BR57" s="9"/>
      <c r="BT57" s="9"/>
      <c r="BX57" s="2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</row>
    <row r="58" spans="1:87">
      <c r="A58" s="13">
        <v>22098</v>
      </c>
      <c r="B58" s="12">
        <v>3116.1039999999998</v>
      </c>
      <c r="C58" s="9">
        <v>1</v>
      </c>
      <c r="D58" s="24">
        <v>3015</v>
      </c>
      <c r="E58" s="12">
        <v>17.521999999999998</v>
      </c>
      <c r="F58" s="12">
        <v>19.030999999999999</v>
      </c>
      <c r="G58" s="12">
        <v>54.811</v>
      </c>
      <c r="H58" s="34">
        <v>28.7</v>
      </c>
      <c r="I58" s="34">
        <v>546.20000000000005</v>
      </c>
      <c r="J58" s="35">
        <v>17.582000000000001</v>
      </c>
      <c r="K58" s="35">
        <v>34.720999999999997</v>
      </c>
      <c r="L58" s="35">
        <v>52.908999999999999</v>
      </c>
      <c r="M58" s="5">
        <v>-1.2458007368701374</v>
      </c>
      <c r="N58" s="5">
        <v>4.5608831717692064</v>
      </c>
      <c r="O58" s="5">
        <v>1.6976948808034444</v>
      </c>
      <c r="P58" s="6">
        <v>1</v>
      </c>
      <c r="Q58" s="6">
        <v>1</v>
      </c>
      <c r="R58" s="33">
        <v>1</v>
      </c>
      <c r="S58" s="5"/>
      <c r="T58" s="6"/>
      <c r="U58">
        <v>0</v>
      </c>
      <c r="V58" s="9">
        <v>0.11201299999999992</v>
      </c>
      <c r="W58" s="38">
        <v>0</v>
      </c>
      <c r="X58" s="38">
        <v>97.2</v>
      </c>
      <c r="Y58" s="38">
        <v>97.6</v>
      </c>
      <c r="Z58" s="38">
        <v>98.2</v>
      </c>
      <c r="AA58" s="9">
        <v>1.5</v>
      </c>
      <c r="AB58" s="9">
        <v>0</v>
      </c>
      <c r="AC58" s="38">
        <v>6.7529232397773864E-2</v>
      </c>
      <c r="AD58" s="38">
        <v>0</v>
      </c>
      <c r="AE58" s="9"/>
      <c r="AF58" s="9"/>
      <c r="AG58" s="9"/>
      <c r="AH58" s="9"/>
      <c r="AI58" s="42">
        <v>1.4801955381207179</v>
      </c>
      <c r="AJ58" s="42">
        <v>1.305636016783194</v>
      </c>
      <c r="AK58" s="9"/>
      <c r="AM58" s="9"/>
      <c r="AN58" s="9"/>
      <c r="AO58" s="9"/>
      <c r="AP58" s="9"/>
      <c r="AQ58" s="9"/>
      <c r="AR58" s="9"/>
      <c r="AS58" s="9"/>
      <c r="AU58" s="9"/>
      <c r="AV58" s="9"/>
      <c r="AW58" s="15"/>
      <c r="AX58" s="9"/>
      <c r="BC58" s="9"/>
      <c r="BD58" s="9"/>
      <c r="BE58" s="9"/>
      <c r="BF58" s="9"/>
      <c r="BG58" s="9"/>
      <c r="BL58" s="9"/>
      <c r="BM58" s="9"/>
      <c r="BN58" s="9"/>
      <c r="BO58" s="20"/>
      <c r="BP58" s="20"/>
      <c r="BQ58" s="9"/>
      <c r="BR58" s="9"/>
      <c r="BT58" s="9"/>
      <c r="BX58" s="2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</row>
    <row r="59" spans="1:87">
      <c r="A59" s="13">
        <v>22190</v>
      </c>
      <c r="B59" s="12">
        <v>3078.384</v>
      </c>
      <c r="C59" s="9">
        <v>1</v>
      </c>
      <c r="D59" s="24">
        <v>2974</v>
      </c>
      <c r="E59" s="12">
        <v>17.576000000000001</v>
      </c>
      <c r="F59" s="12">
        <v>18.625</v>
      </c>
      <c r="G59" s="12">
        <v>54.302</v>
      </c>
      <c r="H59" s="34">
        <v>27.3</v>
      </c>
      <c r="I59" s="34">
        <v>544.9</v>
      </c>
      <c r="J59" s="35">
        <v>17.661000000000001</v>
      </c>
      <c r="K59" s="35">
        <v>34.298999999999999</v>
      </c>
      <c r="L59" s="35">
        <v>52.802999999999997</v>
      </c>
      <c r="M59" s="5">
        <v>-3.4102275453459523</v>
      </c>
      <c r="N59" s="5">
        <v>-1.312677084624486</v>
      </c>
      <c r="O59" s="5">
        <v>1.5736598747557591</v>
      </c>
      <c r="P59" s="6">
        <v>1</v>
      </c>
      <c r="Q59" s="6">
        <v>1</v>
      </c>
      <c r="R59" s="33">
        <v>1</v>
      </c>
      <c r="S59" s="5"/>
      <c r="T59" s="6"/>
      <c r="U59">
        <v>0</v>
      </c>
      <c r="V59" s="9">
        <v>2.0938000000000012E-2</v>
      </c>
      <c r="W59" s="38">
        <v>0</v>
      </c>
      <c r="X59" s="38">
        <v>90.1</v>
      </c>
      <c r="Y59" s="38">
        <v>90</v>
      </c>
      <c r="Z59" s="38">
        <v>94.1</v>
      </c>
      <c r="AA59" s="9">
        <v>0.6</v>
      </c>
      <c r="AB59" s="9">
        <v>0</v>
      </c>
      <c r="AC59" s="38">
        <v>4.3625622325504265E-2</v>
      </c>
      <c r="AD59" s="38">
        <v>0</v>
      </c>
      <c r="AE59" s="9"/>
      <c r="AF59" s="9"/>
      <c r="AG59" s="9"/>
      <c r="AH59" s="9"/>
      <c r="AI59" s="42">
        <v>1.707120233320099</v>
      </c>
      <c r="AJ59" s="42">
        <v>1.0731852047527679</v>
      </c>
      <c r="AK59" s="9"/>
      <c r="AM59" s="9"/>
      <c r="AN59" s="9"/>
      <c r="AO59" s="9"/>
      <c r="AP59" s="9"/>
      <c r="AQ59" s="9"/>
      <c r="AR59" s="9"/>
      <c r="AS59" s="9"/>
      <c r="AU59" s="9"/>
      <c r="AV59" s="9"/>
      <c r="AW59" s="15"/>
      <c r="AX59" s="9"/>
      <c r="BC59" s="9"/>
      <c r="BD59" s="9"/>
      <c r="BE59" s="9"/>
      <c r="BF59" s="9"/>
      <c r="BG59" s="9"/>
      <c r="BL59" s="9"/>
      <c r="BM59" s="9"/>
      <c r="BN59" s="9"/>
      <c r="BO59" s="20"/>
      <c r="BP59" s="20"/>
      <c r="BQ59" s="9"/>
      <c r="BR59" s="9"/>
      <c r="BT59" s="9"/>
      <c r="BX59" s="2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</row>
    <row r="60" spans="1:87">
      <c r="A60" s="13">
        <v>22282</v>
      </c>
      <c r="B60" s="12">
        <v>3099.3139999999999</v>
      </c>
      <c r="C60" s="9">
        <v>1</v>
      </c>
      <c r="D60" s="24">
        <v>2989</v>
      </c>
      <c r="E60" s="12">
        <v>17.614999999999998</v>
      </c>
      <c r="F60" s="12">
        <v>18.757999999999999</v>
      </c>
      <c r="G60" s="12">
        <v>53.997</v>
      </c>
      <c r="H60" s="34">
        <v>26.2</v>
      </c>
      <c r="I60" s="34">
        <v>547.29999999999995</v>
      </c>
      <c r="J60" s="35">
        <v>17.693999999999999</v>
      </c>
      <c r="K60" s="35">
        <v>34.738999999999997</v>
      </c>
      <c r="L60" s="35">
        <v>53.158000000000001</v>
      </c>
      <c r="M60" s="5">
        <v>1.8040931205797317</v>
      </c>
      <c r="N60" s="5">
        <v>9.739170670841979E-2</v>
      </c>
      <c r="O60" s="5">
        <v>1.8684391093144732</v>
      </c>
      <c r="P60" s="6">
        <v>1</v>
      </c>
      <c r="Q60" s="6">
        <v>1</v>
      </c>
      <c r="R60" s="33">
        <v>1</v>
      </c>
      <c r="S60" s="5"/>
      <c r="T60" s="6"/>
      <c r="U60">
        <v>1.4704832007797763E-2</v>
      </c>
      <c r="V60" s="9">
        <v>3.1915000000000027E-2</v>
      </c>
      <c r="W60" s="38">
        <v>0</v>
      </c>
      <c r="X60" s="38">
        <v>91.6</v>
      </c>
      <c r="Y60" s="38">
        <v>93.9</v>
      </c>
      <c r="Z60" s="38">
        <v>95.6</v>
      </c>
      <c r="AA60" s="9">
        <v>1.7</v>
      </c>
      <c r="AB60" s="9">
        <v>0</v>
      </c>
      <c r="AC60" s="38">
        <v>5.250251287379637E-2</v>
      </c>
      <c r="AD60" s="38">
        <v>0</v>
      </c>
      <c r="AE60" s="9"/>
      <c r="AF60" s="9"/>
      <c r="AG60" s="9"/>
      <c r="AH60" s="9"/>
      <c r="AI60" s="42">
        <v>1.569508928558722</v>
      </c>
      <c r="AJ60" s="42">
        <v>1.3507282256346389</v>
      </c>
      <c r="AK60" s="9"/>
      <c r="AM60" s="9"/>
      <c r="AN60" s="9"/>
      <c r="AO60" s="9"/>
      <c r="AP60" s="9"/>
      <c r="AQ60" s="9"/>
      <c r="AR60" s="9"/>
      <c r="AS60" s="9"/>
      <c r="AU60" s="9"/>
      <c r="AV60" s="9"/>
      <c r="AW60" s="15"/>
      <c r="AX60" s="9"/>
      <c r="BC60" s="9"/>
      <c r="BD60" s="9"/>
      <c r="BE60" s="9"/>
      <c r="BF60" s="9"/>
      <c r="BG60" s="9"/>
      <c r="BL60" s="9"/>
      <c r="BM60" s="9"/>
      <c r="BN60" s="9"/>
      <c r="BO60" s="20"/>
      <c r="BP60" s="20"/>
      <c r="BQ60" s="9"/>
      <c r="BR60" s="9"/>
      <c r="BT60" s="9"/>
      <c r="BX60" s="2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</row>
    <row r="61" spans="1:87">
      <c r="A61" s="13">
        <v>22372</v>
      </c>
      <c r="B61" s="12">
        <v>3156.922</v>
      </c>
      <c r="C61" s="9">
        <v>0</v>
      </c>
      <c r="D61" s="24">
        <v>3040</v>
      </c>
      <c r="E61" s="12">
        <v>17.657</v>
      </c>
      <c r="F61" s="12">
        <v>19.248999999999999</v>
      </c>
      <c r="G61" s="12">
        <v>53.872</v>
      </c>
      <c r="H61" s="34">
        <v>29.2</v>
      </c>
      <c r="I61" s="34">
        <v>557.9</v>
      </c>
      <c r="J61" s="35">
        <v>17.692</v>
      </c>
      <c r="K61" s="35">
        <v>35.731000000000002</v>
      </c>
      <c r="L61" s="35">
        <v>53.918999999999997</v>
      </c>
      <c r="M61" s="5">
        <v>10.515789687781416</v>
      </c>
      <c r="N61" s="5">
        <v>6.5035318259465837</v>
      </c>
      <c r="O61" s="5">
        <v>1.3552041746361245</v>
      </c>
      <c r="P61" s="6">
        <v>1</v>
      </c>
      <c r="Q61" s="6">
        <v>1</v>
      </c>
      <c r="R61" s="33">
        <v>1</v>
      </c>
      <c r="S61" s="5"/>
      <c r="T61" s="6"/>
      <c r="U61">
        <v>5.8904687191232791E-2</v>
      </c>
      <c r="V61" s="9">
        <v>1.4089999999999936E-2</v>
      </c>
      <c r="W61" s="38">
        <v>0</v>
      </c>
      <c r="X61" s="38">
        <v>92.5</v>
      </c>
      <c r="Y61" s="38">
        <v>91.6</v>
      </c>
      <c r="Z61" s="38">
        <v>98.8</v>
      </c>
      <c r="AA61" s="9">
        <v>0.5</v>
      </c>
      <c r="AB61" s="9">
        <v>0</v>
      </c>
      <c r="AC61" s="38">
        <v>2.2768734288229009E-2</v>
      </c>
      <c r="AD61" s="38">
        <v>0</v>
      </c>
      <c r="AE61" s="9">
        <v>11.100585068609847</v>
      </c>
      <c r="AF61" s="38">
        <v>0</v>
      </c>
      <c r="AG61" s="9"/>
      <c r="AH61" s="9"/>
      <c r="AI61" s="42">
        <v>1.151734975863365</v>
      </c>
      <c r="AJ61" s="42">
        <v>1.196342869680513</v>
      </c>
      <c r="AK61" s="9"/>
      <c r="AM61" s="9"/>
      <c r="AN61" s="9"/>
      <c r="AO61" s="9"/>
      <c r="AP61" s="9"/>
      <c r="AQ61" s="9"/>
      <c r="AR61" s="9"/>
      <c r="AS61" s="9"/>
      <c r="AU61" s="9"/>
      <c r="AV61" s="9"/>
      <c r="AW61" s="15"/>
      <c r="AX61" s="9"/>
      <c r="BC61" s="9"/>
      <c r="BD61" s="9"/>
      <c r="BE61" s="9"/>
      <c r="BF61" s="9"/>
      <c r="BG61" s="9"/>
      <c r="BL61" s="9"/>
      <c r="BM61" s="9"/>
      <c r="BN61" s="9"/>
      <c r="BO61" s="20"/>
      <c r="BP61" s="20"/>
      <c r="BQ61" s="9"/>
      <c r="BR61" s="9"/>
      <c r="BT61" s="9"/>
      <c r="BX61" s="2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</row>
    <row r="62" spans="1:87">
      <c r="A62" s="13">
        <v>22463</v>
      </c>
      <c r="B62" s="12">
        <v>3209.5610000000001</v>
      </c>
      <c r="C62" s="9">
        <v>0</v>
      </c>
      <c r="D62" s="24">
        <v>3086</v>
      </c>
      <c r="E62" s="12">
        <v>17.704000000000001</v>
      </c>
      <c r="F62" s="12">
        <v>19.628</v>
      </c>
      <c r="G62" s="12">
        <v>54.188000000000002</v>
      </c>
      <c r="H62" s="34">
        <v>30.5</v>
      </c>
      <c r="I62" s="34">
        <v>568.29999999999995</v>
      </c>
      <c r="J62" s="35">
        <v>17.757000000000001</v>
      </c>
      <c r="K62" s="35">
        <v>36.222000000000001</v>
      </c>
      <c r="L62" s="35">
        <v>54.11</v>
      </c>
      <c r="M62" s="5">
        <v>3.5934967053965603</v>
      </c>
      <c r="N62" s="5">
        <v>-0.57703451489810265</v>
      </c>
      <c r="O62" s="5">
        <v>1.4652193197131897</v>
      </c>
      <c r="P62" s="6">
        <v>1</v>
      </c>
      <c r="Q62" s="6">
        <v>1</v>
      </c>
      <c r="R62" s="33">
        <v>1</v>
      </c>
      <c r="S62" s="5"/>
      <c r="T62" s="6"/>
      <c r="U62">
        <v>6.4928516671305661E-3</v>
      </c>
      <c r="V62" s="9">
        <v>-0.11685699999999999</v>
      </c>
      <c r="W62" s="38">
        <v>0</v>
      </c>
      <c r="X62" s="38">
        <v>99.2</v>
      </c>
      <c r="Y62" s="38">
        <v>100.9</v>
      </c>
      <c r="Z62" s="38">
        <v>99.2</v>
      </c>
      <c r="AA62" s="9">
        <v>-0.5</v>
      </c>
      <c r="AB62" s="9">
        <v>0</v>
      </c>
      <c r="AC62" s="38">
        <v>3.8060081384679201E-2</v>
      </c>
      <c r="AD62" s="38">
        <v>0</v>
      </c>
      <c r="AE62" s="9">
        <v>9.4372508640035555</v>
      </c>
      <c r="AF62" s="38">
        <v>0</v>
      </c>
      <c r="AG62" s="9"/>
      <c r="AH62" s="9"/>
      <c r="AI62" s="42">
        <v>1.257447195642462</v>
      </c>
      <c r="AJ62" s="42">
        <v>1.5336547365547319</v>
      </c>
      <c r="AK62" s="9"/>
      <c r="AM62" s="9"/>
      <c r="AN62" s="9"/>
      <c r="AO62" s="9"/>
      <c r="AP62" s="9"/>
      <c r="AQ62" s="9"/>
      <c r="AR62" s="9"/>
      <c r="AS62" s="9"/>
      <c r="AU62" s="9"/>
      <c r="AV62" s="9"/>
      <c r="AW62" s="15"/>
      <c r="AX62" s="9"/>
      <c r="BC62" s="9"/>
      <c r="BD62" s="9"/>
      <c r="BE62" s="9"/>
      <c r="BF62" s="9"/>
      <c r="BG62" s="9"/>
      <c r="BL62" s="9"/>
      <c r="BM62" s="9"/>
      <c r="BN62" s="9"/>
      <c r="BO62" s="20"/>
      <c r="BP62" s="20"/>
      <c r="BQ62" s="9"/>
      <c r="BR62" s="9"/>
      <c r="BT62" s="9"/>
      <c r="BX62" s="2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</row>
    <row r="63" spans="1:87">
      <c r="A63" s="13">
        <v>22555</v>
      </c>
      <c r="B63" s="12">
        <v>3274.61</v>
      </c>
      <c r="C63" s="9">
        <v>0</v>
      </c>
      <c r="D63" s="24">
        <v>3146</v>
      </c>
      <c r="E63" s="12">
        <v>17.762</v>
      </c>
      <c r="F63" s="12">
        <v>20.065000000000001</v>
      </c>
      <c r="G63" s="12">
        <v>54.877000000000002</v>
      </c>
      <c r="H63" s="34">
        <v>33</v>
      </c>
      <c r="I63" s="34">
        <v>583.70000000000005</v>
      </c>
      <c r="J63" s="35">
        <v>17.777000000000001</v>
      </c>
      <c r="K63" s="35">
        <v>36.564</v>
      </c>
      <c r="L63" s="35">
        <v>54.427</v>
      </c>
      <c r="M63" s="5">
        <v>4.6867616123940836</v>
      </c>
      <c r="N63" s="5">
        <v>2.2566621078487104</v>
      </c>
      <c r="O63" s="5">
        <v>1.3816776932994894</v>
      </c>
      <c r="P63" s="6">
        <v>1</v>
      </c>
      <c r="Q63" s="6">
        <v>1</v>
      </c>
      <c r="R63" s="33">
        <v>1</v>
      </c>
      <c r="S63" s="5"/>
      <c r="T63" s="6"/>
      <c r="U63">
        <v>-1.8200248845814384E-3</v>
      </c>
      <c r="V63" s="9">
        <v>-0.13831199999999999</v>
      </c>
      <c r="W63" s="38">
        <v>0</v>
      </c>
      <c r="X63" s="38">
        <v>93</v>
      </c>
      <c r="Y63" s="38">
        <v>94.7</v>
      </c>
      <c r="Z63" s="38">
        <v>97.5</v>
      </c>
      <c r="AA63" s="9">
        <v>-0.1</v>
      </c>
      <c r="AB63" s="9">
        <v>0</v>
      </c>
      <c r="AC63" s="38">
        <v>7.0856723231906393E-2</v>
      </c>
      <c r="AD63" s="38">
        <v>0</v>
      </c>
      <c r="AE63" s="9">
        <v>5.3413892923821482</v>
      </c>
      <c r="AF63" s="38">
        <v>0</v>
      </c>
      <c r="AG63" s="9"/>
      <c r="AH63" s="9"/>
      <c r="AI63" s="42">
        <v>0.69895625405210959</v>
      </c>
      <c r="AJ63" s="42">
        <v>0.52877025710697834</v>
      </c>
      <c r="AK63" s="9"/>
      <c r="AM63" s="9"/>
      <c r="AN63" s="9"/>
      <c r="AO63" s="9"/>
      <c r="AP63" s="9"/>
      <c r="AQ63" s="9"/>
      <c r="AR63" s="9"/>
      <c r="AS63" s="9"/>
      <c r="AU63" s="9"/>
      <c r="AV63" s="9"/>
      <c r="AW63" s="15"/>
      <c r="AX63" s="9"/>
      <c r="BC63" s="9"/>
      <c r="BD63" s="9"/>
      <c r="BE63" s="9"/>
      <c r="BF63" s="9"/>
      <c r="BG63" s="9"/>
      <c r="BL63" s="9"/>
      <c r="BM63" s="9"/>
      <c r="BN63" s="9"/>
      <c r="BO63" s="20"/>
      <c r="BP63" s="20"/>
      <c r="BQ63" s="9"/>
      <c r="BR63" s="9"/>
      <c r="BT63" s="9"/>
      <c r="BX63" s="2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</row>
    <row r="64" spans="1:87">
      <c r="A64" s="13">
        <v>22647</v>
      </c>
      <c r="B64" s="12">
        <v>3333.5909999999999</v>
      </c>
      <c r="C64" s="9">
        <v>0</v>
      </c>
      <c r="D64" s="24">
        <v>3208</v>
      </c>
      <c r="E64" s="12">
        <v>17.853999999999999</v>
      </c>
      <c r="F64" s="12">
        <v>20.472999999999999</v>
      </c>
      <c r="G64" s="12">
        <v>55.078000000000003</v>
      </c>
      <c r="H64" s="34">
        <v>35.299999999999997</v>
      </c>
      <c r="I64" s="34">
        <v>593.70000000000005</v>
      </c>
      <c r="J64" s="35">
        <v>17.855</v>
      </c>
      <c r="K64" s="35">
        <v>37.170999999999999</v>
      </c>
      <c r="L64" s="35">
        <v>55.081000000000003</v>
      </c>
      <c r="M64" s="5">
        <v>1.6297235695026759</v>
      </c>
      <c r="N64" s="5">
        <v>1.800448169738158</v>
      </c>
      <c r="O64" s="5">
        <v>0.62775549263799191</v>
      </c>
      <c r="P64" s="6">
        <v>1</v>
      </c>
      <c r="Q64" s="6">
        <v>1</v>
      </c>
      <c r="R64" s="33">
        <v>1</v>
      </c>
      <c r="S64" s="5"/>
      <c r="T64" s="6"/>
      <c r="U64">
        <v>3.5551148856350465E-3</v>
      </c>
      <c r="V64" s="9">
        <v>5.8562000000000003E-2</v>
      </c>
      <c r="W64" s="38">
        <v>0</v>
      </c>
      <c r="X64" s="38">
        <v>99.9</v>
      </c>
      <c r="Y64" s="38">
        <v>101.5</v>
      </c>
      <c r="Z64" s="38">
        <v>104.1</v>
      </c>
      <c r="AA64" s="9">
        <v>0.6</v>
      </c>
      <c r="AB64" s="9">
        <v>0</v>
      </c>
      <c r="AC64" s="38">
        <v>9.2999789575867187E-2</v>
      </c>
      <c r="AD64" s="38">
        <v>0</v>
      </c>
      <c r="AE64" s="9">
        <v>9.579862605363143</v>
      </c>
      <c r="AF64" s="38">
        <v>0</v>
      </c>
      <c r="AG64" s="9"/>
      <c r="AH64" s="9"/>
      <c r="AI64" s="42">
        <v>0.35028516741313792</v>
      </c>
      <c r="AJ64" s="42">
        <v>-0.67444698840059225</v>
      </c>
      <c r="AK64" s="9"/>
      <c r="AM64" s="9"/>
      <c r="AN64" s="9"/>
      <c r="AO64" s="9"/>
      <c r="AP64" s="9"/>
      <c r="AQ64" s="9"/>
      <c r="AR64" s="9"/>
      <c r="AS64" s="9"/>
      <c r="AU64" s="9"/>
      <c r="AV64" s="9"/>
      <c r="AW64" s="15"/>
      <c r="AX64" s="9"/>
      <c r="BC64" s="9"/>
      <c r="BD64" s="9"/>
      <c r="BE64" s="9"/>
      <c r="BF64" s="9"/>
      <c r="BG64" s="9"/>
      <c r="BL64" s="9"/>
      <c r="BM64" s="9"/>
      <c r="BN64" s="9"/>
      <c r="BO64" s="20"/>
      <c r="BP64" s="20"/>
      <c r="BQ64" s="9"/>
      <c r="BR64" s="9"/>
      <c r="BT64" s="9"/>
      <c r="BX64" s="2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</row>
    <row r="65" spans="1:87">
      <c r="A65" s="13">
        <v>22737</v>
      </c>
      <c r="B65" s="12">
        <v>3369.51</v>
      </c>
      <c r="C65" s="9">
        <v>0</v>
      </c>
      <c r="D65" s="24">
        <v>3236</v>
      </c>
      <c r="E65" s="12">
        <v>17.882999999999999</v>
      </c>
      <c r="F65" s="12">
        <v>20.681999999999999</v>
      </c>
      <c r="G65" s="12">
        <v>55.734999999999999</v>
      </c>
      <c r="H65" s="34">
        <v>35.200000000000003</v>
      </c>
      <c r="I65" s="34">
        <v>601.29999999999995</v>
      </c>
      <c r="J65" s="35">
        <v>17.917999999999999</v>
      </c>
      <c r="K65" s="35">
        <v>37.107999999999997</v>
      </c>
      <c r="L65" s="35">
        <v>55.241</v>
      </c>
      <c r="M65" s="5">
        <v>1.3801750464120883</v>
      </c>
      <c r="N65" s="5">
        <v>3.7195423211654317</v>
      </c>
      <c r="O65" s="5">
        <v>0.55011963220431792</v>
      </c>
      <c r="P65" s="6">
        <v>1</v>
      </c>
      <c r="Q65" s="6">
        <v>1</v>
      </c>
      <c r="R65" s="33">
        <v>1</v>
      </c>
      <c r="S65" s="5"/>
      <c r="T65" s="6"/>
      <c r="U65">
        <v>0</v>
      </c>
      <c r="V65" s="9">
        <v>4.551700000000003E-2</v>
      </c>
      <c r="W65" s="38">
        <v>0</v>
      </c>
      <c r="X65" s="38">
        <v>95.4</v>
      </c>
      <c r="Y65" s="38">
        <v>94.9</v>
      </c>
      <c r="Z65" s="38">
        <v>97.2</v>
      </c>
      <c r="AA65" s="9">
        <v>1</v>
      </c>
      <c r="AB65" s="9">
        <v>0</v>
      </c>
      <c r="AC65" s="38">
        <v>6.3925599140339573E-2</v>
      </c>
      <c r="AD65" s="38">
        <v>0</v>
      </c>
      <c r="AE65" s="9">
        <v>2.6421928621833235</v>
      </c>
      <c r="AF65" s="38">
        <v>0</v>
      </c>
      <c r="AG65" s="9"/>
      <c r="AH65" s="9"/>
      <c r="AI65" s="42">
        <v>2.4195097343768661</v>
      </c>
      <c r="AJ65" s="42">
        <v>3.602669468160558</v>
      </c>
      <c r="AK65" s="9"/>
      <c r="AM65" s="9"/>
      <c r="AN65" s="9"/>
      <c r="AO65" s="9"/>
      <c r="AP65" s="9"/>
      <c r="AQ65" s="9"/>
      <c r="AR65" s="9"/>
      <c r="AS65" s="9"/>
      <c r="AU65" s="9"/>
      <c r="AV65" s="9"/>
      <c r="AW65" s="15"/>
      <c r="AX65" s="9"/>
      <c r="BC65" s="9"/>
      <c r="BD65" s="9"/>
      <c r="BE65" s="9"/>
      <c r="BF65" s="9"/>
      <c r="BG65" s="9"/>
      <c r="BL65" s="9"/>
      <c r="BM65" s="9"/>
      <c r="BN65" s="9"/>
      <c r="BO65" s="20"/>
      <c r="BP65" s="20"/>
      <c r="BQ65" s="9"/>
      <c r="BR65" s="9"/>
      <c r="BT65" s="9"/>
      <c r="BX65" s="2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</row>
    <row r="66" spans="1:87">
      <c r="A66" s="13">
        <v>22828</v>
      </c>
      <c r="B66" s="12">
        <v>3401.6089999999999</v>
      </c>
      <c r="C66" s="9">
        <v>0</v>
      </c>
      <c r="D66" s="24">
        <v>3261</v>
      </c>
      <c r="E66" s="12">
        <v>17.920000000000002</v>
      </c>
      <c r="F66" s="12">
        <v>20.908999999999999</v>
      </c>
      <c r="G66" s="12">
        <v>55.619</v>
      </c>
      <c r="H66" s="34">
        <v>36.200000000000003</v>
      </c>
      <c r="I66" s="34">
        <v>608.70000000000005</v>
      </c>
      <c r="J66" s="35">
        <v>17.963999999999999</v>
      </c>
      <c r="K66" s="35">
        <v>37.593000000000004</v>
      </c>
      <c r="L66" s="35">
        <v>55.469000000000001</v>
      </c>
      <c r="M66" s="5">
        <v>3.7390674346171084</v>
      </c>
      <c r="N66" s="5">
        <v>6.9716641541496216</v>
      </c>
      <c r="O66" s="5">
        <v>0.6947565393478965</v>
      </c>
      <c r="P66" s="6">
        <v>1</v>
      </c>
      <c r="Q66" s="6">
        <v>1</v>
      </c>
      <c r="R66" s="33">
        <v>1</v>
      </c>
      <c r="S66" s="5"/>
      <c r="T66" s="6"/>
      <c r="U66">
        <v>0</v>
      </c>
      <c r="V66" s="9">
        <v>7.4514999999999998E-2</v>
      </c>
      <c r="W66" s="38">
        <v>-0.228813559</v>
      </c>
      <c r="X66" s="38">
        <v>91.6</v>
      </c>
      <c r="Y66" s="38">
        <v>96.3</v>
      </c>
      <c r="Z66" s="38">
        <v>94.1</v>
      </c>
      <c r="AA66" s="9">
        <v>0.7</v>
      </c>
      <c r="AB66" s="9">
        <v>0</v>
      </c>
      <c r="AC66" s="38">
        <v>7.9945039972977083E-2</v>
      </c>
      <c r="AD66" s="38">
        <v>0</v>
      </c>
      <c r="AE66" s="9">
        <v>5.7369687285632631</v>
      </c>
      <c r="AF66" s="38">
        <v>0</v>
      </c>
      <c r="AG66" s="9"/>
      <c r="AH66" s="9"/>
      <c r="AI66" s="42">
        <v>2.1233612130488102</v>
      </c>
      <c r="AJ66" s="42">
        <v>2.148041665119051</v>
      </c>
      <c r="AK66" s="9"/>
      <c r="AM66" s="9"/>
      <c r="AN66" s="9"/>
      <c r="AO66" s="9"/>
      <c r="AP66" s="9"/>
      <c r="AQ66" s="9"/>
      <c r="AR66" s="9"/>
      <c r="AS66" s="9"/>
      <c r="AU66" s="9"/>
      <c r="AV66" s="9"/>
      <c r="AW66" s="15"/>
      <c r="AX66" s="9"/>
      <c r="BC66" s="9"/>
      <c r="BD66" s="9"/>
      <c r="BE66" s="9"/>
      <c r="BF66" s="9"/>
      <c r="BG66" s="9"/>
      <c r="BL66" s="9"/>
      <c r="BM66" s="9"/>
      <c r="BN66" s="9"/>
      <c r="BO66" s="20"/>
      <c r="BP66" s="20"/>
      <c r="BQ66" s="9"/>
      <c r="BR66" s="9"/>
      <c r="BT66" s="9"/>
      <c r="BX66" s="2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</row>
    <row r="67" spans="1:87">
      <c r="A67" s="13">
        <v>22920</v>
      </c>
      <c r="B67" s="12">
        <v>3414.8020000000001</v>
      </c>
      <c r="C67" s="9">
        <v>0</v>
      </c>
      <c r="D67" s="24">
        <v>3267</v>
      </c>
      <c r="E67" s="12">
        <v>17.954999999999998</v>
      </c>
      <c r="F67" s="12">
        <v>20.952000000000002</v>
      </c>
      <c r="G67" s="12">
        <v>55.265000000000001</v>
      </c>
      <c r="H67" s="34">
        <v>38</v>
      </c>
      <c r="I67" s="34">
        <v>617.1</v>
      </c>
      <c r="J67" s="35">
        <v>18.018000000000001</v>
      </c>
      <c r="K67" s="35">
        <v>37.911999999999999</v>
      </c>
      <c r="L67" s="35">
        <v>55.844999999999999</v>
      </c>
      <c r="M67" s="5">
        <v>3.7756078420870938</v>
      </c>
      <c r="N67" s="5">
        <v>6.4470888996481133</v>
      </c>
      <c r="O67" s="5">
        <v>0.76946241616737077</v>
      </c>
      <c r="P67" s="6">
        <v>1</v>
      </c>
      <c r="Q67" s="6">
        <v>1</v>
      </c>
      <c r="R67" s="33">
        <v>1</v>
      </c>
      <c r="S67" s="5"/>
      <c r="T67" s="6"/>
      <c r="U67">
        <v>0</v>
      </c>
      <c r="V67" s="9">
        <v>-3.3903000000000016E-2</v>
      </c>
      <c r="W67" s="38">
        <v>-0.15169391500000001</v>
      </c>
      <c r="X67" s="38">
        <v>95</v>
      </c>
      <c r="Y67" s="38">
        <v>96.2</v>
      </c>
      <c r="Z67" s="38">
        <v>99.9</v>
      </c>
      <c r="AA67" s="9">
        <v>-0.4</v>
      </c>
      <c r="AB67" s="9">
        <v>0</v>
      </c>
      <c r="AC67" s="38">
        <v>4.1669100277995641E-2</v>
      </c>
      <c r="AD67" s="38">
        <v>0</v>
      </c>
      <c r="AE67" s="9">
        <v>9.0322641188291364</v>
      </c>
      <c r="AF67" s="38">
        <v>0</v>
      </c>
      <c r="AG67" s="9"/>
      <c r="AH67" s="9"/>
      <c r="AI67" s="42">
        <v>1.3218262660132261</v>
      </c>
      <c r="AJ67" s="42">
        <v>1.2214574919737149</v>
      </c>
      <c r="AK67" s="9"/>
      <c r="AM67" s="9"/>
      <c r="AN67" s="9"/>
      <c r="AO67" s="9"/>
      <c r="AP67" s="9"/>
      <c r="AQ67" s="9"/>
      <c r="AR67" s="9"/>
      <c r="AS67" s="9"/>
      <c r="AU67" s="9"/>
      <c r="AV67" s="9"/>
      <c r="AW67" s="15"/>
      <c r="AX67" s="9"/>
      <c r="BC67" s="9"/>
      <c r="BD67" s="9"/>
      <c r="BE67" s="9"/>
      <c r="BF67" s="9"/>
      <c r="BG67" s="9"/>
      <c r="BL67" s="9"/>
      <c r="BM67" s="9"/>
      <c r="BN67" s="9"/>
      <c r="BO67" s="20"/>
      <c r="BP67" s="20"/>
      <c r="BQ67" s="9"/>
      <c r="BR67" s="9"/>
      <c r="BT67" s="9"/>
      <c r="BX67" s="2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</row>
    <row r="68" spans="1:87">
      <c r="A68" s="13">
        <v>23012</v>
      </c>
      <c r="B68" s="12">
        <v>3452.806</v>
      </c>
      <c r="C68" s="9">
        <v>0</v>
      </c>
      <c r="D68" s="24">
        <v>3307</v>
      </c>
      <c r="E68" s="12">
        <v>18.033999999999999</v>
      </c>
      <c r="F68" s="12">
        <v>21.149000000000001</v>
      </c>
      <c r="G68" s="12">
        <v>55.600999999999999</v>
      </c>
      <c r="H68" s="34">
        <v>38.5</v>
      </c>
      <c r="I68" s="34">
        <v>625</v>
      </c>
      <c r="J68" s="35">
        <v>18.068999999999999</v>
      </c>
      <c r="K68" s="35">
        <v>38.036999999999999</v>
      </c>
      <c r="L68" s="35">
        <v>56.218000000000004</v>
      </c>
      <c r="M68" s="5">
        <v>0.92328843918678405</v>
      </c>
      <c r="N68" s="5">
        <v>2.0901434405735833</v>
      </c>
      <c r="O68" s="5">
        <v>1.0228817176779113</v>
      </c>
      <c r="P68" s="6">
        <v>1</v>
      </c>
      <c r="Q68" s="6">
        <v>1</v>
      </c>
      <c r="R68" s="33">
        <v>1</v>
      </c>
      <c r="S68" s="5"/>
      <c r="T68" s="6"/>
      <c r="U68">
        <v>0</v>
      </c>
      <c r="V68" s="9">
        <v>-0.11166100000000001</v>
      </c>
      <c r="W68" s="38">
        <v>0.43160690600000001</v>
      </c>
      <c r="X68" s="38">
        <v>98.4</v>
      </c>
      <c r="Y68" s="38">
        <v>103.9</v>
      </c>
      <c r="Z68" s="38">
        <v>100.6</v>
      </c>
      <c r="AA68" s="9">
        <v>0.2</v>
      </c>
      <c r="AB68" s="9">
        <v>0</v>
      </c>
      <c r="AC68" s="38">
        <v>-2.2089400775404444E-2</v>
      </c>
      <c r="AD68" s="38">
        <v>0</v>
      </c>
      <c r="AE68" s="9">
        <v>2.2206813475379006</v>
      </c>
      <c r="AF68" s="38">
        <v>0</v>
      </c>
      <c r="AG68" s="9"/>
      <c r="AH68" s="9"/>
      <c r="AI68" s="42">
        <v>1.860383831989354</v>
      </c>
      <c r="AJ68" s="42">
        <v>1.3661586693532011</v>
      </c>
      <c r="AK68" s="9"/>
      <c r="AM68" s="9"/>
      <c r="AN68" s="9"/>
      <c r="AO68" s="9"/>
      <c r="AP68" s="9"/>
      <c r="AQ68" s="9"/>
      <c r="AR68" s="9"/>
      <c r="AS68" s="9"/>
      <c r="AU68" s="9"/>
      <c r="AV68" s="9"/>
      <c r="AW68" s="15"/>
      <c r="AX68" s="9"/>
      <c r="BC68" s="9"/>
      <c r="BD68" s="9"/>
      <c r="BE68" s="9"/>
      <c r="BF68" s="9"/>
      <c r="BG68" s="9"/>
      <c r="BL68" s="9"/>
      <c r="BM68" s="9"/>
      <c r="BN68" s="9"/>
      <c r="BO68" s="20"/>
      <c r="BP68" s="20"/>
      <c r="BQ68" s="9"/>
      <c r="BR68" s="9"/>
      <c r="BT68" s="9"/>
      <c r="BX68" s="2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</row>
    <row r="69" spans="1:87">
      <c r="A69" s="13">
        <v>23102</v>
      </c>
      <c r="B69" s="12">
        <v>3497.8180000000002</v>
      </c>
      <c r="C69" s="9">
        <v>0</v>
      </c>
      <c r="D69" s="24">
        <v>3345</v>
      </c>
      <c r="E69" s="12">
        <v>18.064</v>
      </c>
      <c r="F69" s="12">
        <v>21.498000000000001</v>
      </c>
      <c r="G69" s="12">
        <v>55.951999999999998</v>
      </c>
      <c r="H69" s="34">
        <v>40</v>
      </c>
      <c r="I69" s="34">
        <v>635.20000000000005</v>
      </c>
      <c r="J69" s="35">
        <v>18.094999999999999</v>
      </c>
      <c r="K69" s="35">
        <v>38.421999999999997</v>
      </c>
      <c r="L69" s="35">
        <v>56.398000000000003</v>
      </c>
      <c r="M69" s="5">
        <v>3.2178651729371226</v>
      </c>
      <c r="N69" s="5">
        <v>2.7981774748829635</v>
      </c>
      <c r="O69" s="5">
        <v>1.2879488336512415</v>
      </c>
      <c r="P69" s="6">
        <v>1</v>
      </c>
      <c r="Q69" s="6">
        <v>1</v>
      </c>
      <c r="R69" s="33">
        <v>1</v>
      </c>
      <c r="S69" s="5"/>
      <c r="T69" s="6"/>
      <c r="U69">
        <v>0</v>
      </c>
      <c r="V69" s="9">
        <v>-4.368699999999992E-2</v>
      </c>
      <c r="W69" s="38">
        <v>0</v>
      </c>
      <c r="X69" s="38">
        <v>91.7</v>
      </c>
      <c r="Y69" s="38">
        <v>95</v>
      </c>
      <c r="Z69" s="38">
        <v>94.8</v>
      </c>
      <c r="AA69" s="9">
        <v>4.3</v>
      </c>
      <c r="AB69" s="9">
        <v>0</v>
      </c>
      <c r="AC69" s="38">
        <v>0.17101104015253243</v>
      </c>
      <c r="AD69" s="38">
        <v>0</v>
      </c>
      <c r="AE69" s="9">
        <v>5.2034657503899906</v>
      </c>
      <c r="AF69" s="38">
        <v>1</v>
      </c>
      <c r="AG69" s="9"/>
      <c r="AH69" s="9"/>
      <c r="AI69" s="42">
        <v>1.2609143597068151</v>
      </c>
      <c r="AJ69" s="42">
        <v>1.048649325056479</v>
      </c>
      <c r="AK69" s="9"/>
      <c r="AM69" s="9"/>
      <c r="AN69" s="9"/>
      <c r="AO69" s="9"/>
      <c r="AP69" s="9"/>
      <c r="AQ69" s="9"/>
      <c r="AR69" s="9"/>
      <c r="AS69" s="9"/>
      <c r="AU69" s="9"/>
      <c r="AV69" s="9"/>
      <c r="AW69" s="15"/>
      <c r="AX69" s="9"/>
      <c r="BC69" s="9"/>
      <c r="BD69" s="9"/>
      <c r="BE69" s="9"/>
      <c r="BF69" s="9"/>
      <c r="BG69" s="9"/>
      <c r="BL69" s="9"/>
      <c r="BM69" s="9"/>
      <c r="BN69" s="9"/>
      <c r="BO69" s="20"/>
      <c r="BP69" s="20"/>
      <c r="BQ69" s="9"/>
      <c r="BR69" s="19"/>
      <c r="BT69" s="9"/>
      <c r="BX69" s="2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</row>
    <row r="70" spans="1:87">
      <c r="A70" s="13">
        <v>23193</v>
      </c>
      <c r="B70" s="12">
        <v>3566.096</v>
      </c>
      <c r="C70" s="9">
        <v>0</v>
      </c>
      <c r="D70" s="24">
        <v>3401</v>
      </c>
      <c r="E70" s="12">
        <v>18.085999999999999</v>
      </c>
      <c r="F70" s="12">
        <v>22.015000000000001</v>
      </c>
      <c r="G70" s="12">
        <v>56.103999999999999</v>
      </c>
      <c r="H70" s="34">
        <v>40.6</v>
      </c>
      <c r="I70" s="34">
        <v>644.6</v>
      </c>
      <c r="J70" s="35">
        <v>18.181000000000001</v>
      </c>
      <c r="K70" s="35">
        <v>39.24</v>
      </c>
      <c r="L70" s="35">
        <v>56.628999999999998</v>
      </c>
      <c r="M70" s="5">
        <v>5.9840823816591326</v>
      </c>
      <c r="N70" s="5">
        <v>4.5782201124156003</v>
      </c>
      <c r="O70" s="5">
        <v>0.91828434734554132</v>
      </c>
      <c r="P70" s="6">
        <v>1</v>
      </c>
      <c r="Q70" s="6">
        <v>1</v>
      </c>
      <c r="R70" s="33">
        <v>1</v>
      </c>
      <c r="S70" s="5"/>
      <c r="T70" s="6"/>
      <c r="U70">
        <v>-1.1617118600477672E-2</v>
      </c>
      <c r="V70" s="9">
        <v>-0.13021400000000005</v>
      </c>
      <c r="W70" s="38">
        <v>0</v>
      </c>
      <c r="X70" s="38">
        <v>96.4</v>
      </c>
      <c r="Y70" s="38">
        <v>103</v>
      </c>
      <c r="Z70" s="38">
        <v>97.7</v>
      </c>
      <c r="AA70" s="9">
        <v>0.5</v>
      </c>
      <c r="AB70" s="9">
        <v>0</v>
      </c>
      <c r="AC70" s="38">
        <v>0.13130705195381109</v>
      </c>
      <c r="AD70" s="38">
        <v>0</v>
      </c>
      <c r="AE70" s="9">
        <v>2.9657644973202446</v>
      </c>
      <c r="AF70" s="38">
        <v>1</v>
      </c>
      <c r="AG70" s="9"/>
      <c r="AH70" s="9"/>
      <c r="AI70" s="42">
        <v>1.1239834262662181</v>
      </c>
      <c r="AJ70" s="42">
        <v>0.80096284443566901</v>
      </c>
      <c r="AK70" s="9"/>
      <c r="AM70" s="9"/>
      <c r="AN70" s="9"/>
      <c r="AO70" s="9"/>
      <c r="AP70" s="9"/>
      <c r="AQ70" s="9"/>
      <c r="AR70" s="9"/>
      <c r="AS70" s="9"/>
      <c r="AU70" s="9"/>
      <c r="AV70" s="9"/>
      <c r="AW70" s="15"/>
      <c r="AX70" s="9"/>
      <c r="BC70" s="9"/>
      <c r="BD70" s="9"/>
      <c r="BE70" s="9"/>
      <c r="BF70" s="9"/>
      <c r="BG70" s="9"/>
      <c r="BL70" s="9"/>
      <c r="BM70" s="9"/>
      <c r="BN70" s="9"/>
      <c r="BO70" s="20"/>
      <c r="BP70" s="20"/>
      <c r="BQ70" s="9"/>
      <c r="BR70" s="9"/>
      <c r="BT70" s="9"/>
      <c r="BX70" s="2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</row>
    <row r="71" spans="1:87">
      <c r="A71" s="13">
        <v>23285</v>
      </c>
      <c r="B71" s="12">
        <v>3591.5459999999998</v>
      </c>
      <c r="C71" s="9">
        <v>0</v>
      </c>
      <c r="D71" s="24">
        <v>3440</v>
      </c>
      <c r="E71" s="12">
        <v>18.233000000000001</v>
      </c>
      <c r="F71" s="12">
        <v>22.184999999999999</v>
      </c>
      <c r="G71" s="12">
        <v>56.539000000000001</v>
      </c>
      <c r="H71" s="34">
        <v>41.1</v>
      </c>
      <c r="I71" s="34">
        <v>655.5</v>
      </c>
      <c r="J71" s="35">
        <v>18.248000000000001</v>
      </c>
      <c r="K71" s="35">
        <v>39.238</v>
      </c>
      <c r="L71" s="35">
        <v>57.125999999999998</v>
      </c>
      <c r="M71" s="5">
        <v>0.62191126099883887</v>
      </c>
      <c r="N71" s="5">
        <v>-0.90498579709758942</v>
      </c>
      <c r="O71" s="5">
        <v>0.78616020046628365</v>
      </c>
      <c r="P71" s="6">
        <v>1</v>
      </c>
      <c r="Q71" s="6">
        <v>1</v>
      </c>
      <c r="R71" s="33">
        <v>1</v>
      </c>
      <c r="S71" s="5"/>
      <c r="T71" s="6"/>
      <c r="U71">
        <v>0</v>
      </c>
      <c r="V71" s="9">
        <v>-4.5960000000000445E-3</v>
      </c>
      <c r="W71" s="38">
        <v>0</v>
      </c>
      <c r="X71" s="38">
        <v>94.4</v>
      </c>
      <c r="Y71" s="38">
        <v>98.3</v>
      </c>
      <c r="Z71" s="38">
        <v>97.7</v>
      </c>
      <c r="AA71" s="9">
        <v>2.2999999999999998</v>
      </c>
      <c r="AB71" s="9">
        <v>0</v>
      </c>
      <c r="AC71" s="38">
        <v>9.5370547567630304E-4</v>
      </c>
      <c r="AD71" s="38">
        <v>0</v>
      </c>
      <c r="AE71" s="9">
        <v>13.979885133001989</v>
      </c>
      <c r="AF71" s="38">
        <v>1</v>
      </c>
      <c r="AG71" s="9"/>
      <c r="AH71" s="9"/>
      <c r="AI71" s="42">
        <v>0.82075232831912714</v>
      </c>
      <c r="AJ71" s="42">
        <v>1.036985735606395</v>
      </c>
      <c r="AK71" s="9"/>
      <c r="AM71" s="9"/>
      <c r="AN71" s="9"/>
      <c r="AO71" s="9"/>
      <c r="AP71" s="9"/>
      <c r="AQ71" s="9"/>
      <c r="AR71" s="9"/>
      <c r="AS71" s="9"/>
      <c r="AU71" s="9"/>
      <c r="AV71" s="9"/>
      <c r="AW71" s="15"/>
      <c r="AX71" s="9"/>
      <c r="BC71" s="9"/>
      <c r="BD71" s="9"/>
      <c r="BE71" s="9"/>
      <c r="BF71" s="9"/>
      <c r="BG71" s="9"/>
      <c r="BL71" s="9"/>
      <c r="BM71" s="9"/>
      <c r="BN71" s="9"/>
      <c r="BO71" s="20"/>
      <c r="BP71" s="20"/>
      <c r="BQ71" s="9"/>
      <c r="BR71" s="9"/>
      <c r="BT71" s="9"/>
      <c r="BX71" s="2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</row>
    <row r="72" spans="1:87">
      <c r="A72" s="13">
        <v>23377</v>
      </c>
      <c r="B72" s="12">
        <v>3669.2260000000001</v>
      </c>
      <c r="C72" s="9">
        <v>0</v>
      </c>
      <c r="D72" s="24">
        <v>3515</v>
      </c>
      <c r="E72" s="12">
        <v>18.291</v>
      </c>
      <c r="F72" s="12">
        <v>22.8</v>
      </c>
      <c r="G72" s="12">
        <v>57.588999999999999</v>
      </c>
      <c r="H72" s="34">
        <v>44.6</v>
      </c>
      <c r="I72" s="34">
        <v>668.6</v>
      </c>
      <c r="J72" s="35">
        <v>18.335999999999999</v>
      </c>
      <c r="K72" s="35">
        <v>39.591000000000001</v>
      </c>
      <c r="L72" s="35">
        <v>56.848999999999997</v>
      </c>
      <c r="M72" s="5">
        <v>4.1979940128010416</v>
      </c>
      <c r="N72" s="5">
        <v>3.1585061919702575</v>
      </c>
      <c r="O72" s="5">
        <v>-5.6757497076764689E-2</v>
      </c>
      <c r="P72" s="6">
        <v>1</v>
      </c>
      <c r="Q72" s="6">
        <v>1</v>
      </c>
      <c r="R72" s="33">
        <v>1</v>
      </c>
      <c r="S72" s="5"/>
      <c r="T72" s="6"/>
      <c r="U72">
        <v>-7.2617743814816825E-3</v>
      </c>
      <c r="V72" s="9">
        <v>3.6829999999999918E-3</v>
      </c>
      <c r="W72" s="38">
        <v>0</v>
      </c>
      <c r="X72" s="38">
        <v>99.5</v>
      </c>
      <c r="Y72" s="38">
        <v>100.2</v>
      </c>
      <c r="Z72" s="38">
        <v>100.1</v>
      </c>
      <c r="AA72" s="9">
        <v>1</v>
      </c>
      <c r="AB72" s="9">
        <v>0</v>
      </c>
      <c r="AC72" s="38">
        <v>8.8073708383025417E-2</v>
      </c>
      <c r="AD72" s="38">
        <v>0</v>
      </c>
      <c r="AE72" s="9">
        <v>9.3792635788449985</v>
      </c>
      <c r="AF72" s="38">
        <v>1</v>
      </c>
      <c r="AG72" s="9"/>
      <c r="AH72" s="9"/>
      <c r="AI72" s="42">
        <v>1.667395650446075</v>
      </c>
      <c r="AJ72" s="42">
        <v>1.0887277990223481</v>
      </c>
      <c r="AK72" s="9"/>
      <c r="AM72" s="9"/>
      <c r="AN72" s="9"/>
      <c r="AO72" s="9"/>
      <c r="AP72" s="9"/>
      <c r="AQ72" s="9"/>
      <c r="AR72" s="9"/>
      <c r="AS72" s="9"/>
      <c r="AU72" s="9"/>
      <c r="AV72" s="9"/>
      <c r="AW72" s="15"/>
      <c r="AX72" s="9"/>
      <c r="BC72" s="9"/>
      <c r="BD72" s="9"/>
      <c r="BE72" s="9"/>
      <c r="BF72" s="9"/>
      <c r="BG72" s="9"/>
      <c r="BL72" s="9"/>
      <c r="BM72" s="9"/>
      <c r="BN72" s="9"/>
      <c r="BO72" s="20"/>
      <c r="BP72" s="20"/>
      <c r="BQ72" s="9"/>
      <c r="BR72" s="9"/>
      <c r="BT72" s="9"/>
      <c r="BX72" s="2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</row>
    <row r="73" spans="1:87">
      <c r="A73" s="13">
        <v>23468</v>
      </c>
      <c r="B73" s="12">
        <v>3712.8560000000002</v>
      </c>
      <c r="C73" s="9">
        <v>0</v>
      </c>
      <c r="D73" s="24">
        <v>3554</v>
      </c>
      <c r="E73" s="12">
        <v>18.335000000000001</v>
      </c>
      <c r="F73" s="12">
        <v>23.055</v>
      </c>
      <c r="G73" s="12">
        <v>57.84</v>
      </c>
      <c r="H73" s="34">
        <v>44.9</v>
      </c>
      <c r="I73" s="34">
        <v>680</v>
      </c>
      <c r="J73" s="35">
        <v>18.378</v>
      </c>
      <c r="K73" s="35">
        <v>39.86</v>
      </c>
      <c r="L73" s="35">
        <v>57.386000000000003</v>
      </c>
      <c r="M73" s="5">
        <v>1.7553432405034901</v>
      </c>
      <c r="N73" s="5">
        <v>1.2542858465263305</v>
      </c>
      <c r="O73" s="5">
        <v>-0.84286524164647081</v>
      </c>
      <c r="P73" s="6">
        <v>1</v>
      </c>
      <c r="Q73" s="6">
        <v>1</v>
      </c>
      <c r="R73" s="33">
        <v>1</v>
      </c>
      <c r="S73" s="5"/>
      <c r="T73" s="6"/>
      <c r="U73">
        <v>0</v>
      </c>
      <c r="V73" s="9">
        <v>-6.2743999999999911E-2</v>
      </c>
      <c r="W73" s="38">
        <v>-1.275045537</v>
      </c>
      <c r="X73" s="38">
        <v>98.5</v>
      </c>
      <c r="Y73" s="38">
        <v>100.6</v>
      </c>
      <c r="Z73" s="38">
        <v>97.9</v>
      </c>
      <c r="AA73" s="9">
        <v>1.6</v>
      </c>
      <c r="AB73" s="9">
        <v>0</v>
      </c>
      <c r="AC73" s="38">
        <v>3.6576323126785937E-2</v>
      </c>
      <c r="AD73" s="38">
        <v>0</v>
      </c>
      <c r="AE73" s="9">
        <v>0.92048948295815336</v>
      </c>
      <c r="AF73" s="38">
        <v>1</v>
      </c>
      <c r="AG73" s="9"/>
      <c r="AH73" s="9"/>
      <c r="AI73" s="42">
        <v>1.251141034616299</v>
      </c>
      <c r="AJ73" s="42">
        <v>1.1465019919956689</v>
      </c>
      <c r="AK73" s="9"/>
      <c r="AM73" s="9"/>
      <c r="AN73" s="9"/>
      <c r="AO73" s="9"/>
      <c r="AP73" s="9"/>
      <c r="AQ73" s="9"/>
      <c r="AR73" s="9"/>
      <c r="AS73" s="9"/>
      <c r="AU73" s="9"/>
      <c r="AV73" s="9"/>
      <c r="AW73" s="15"/>
      <c r="AX73" s="9"/>
      <c r="BC73" s="9"/>
      <c r="BD73" s="9"/>
      <c r="BE73" s="9"/>
      <c r="BF73" s="9"/>
      <c r="BG73" s="9"/>
      <c r="BL73" s="9"/>
      <c r="BM73" s="9"/>
      <c r="BN73" s="9"/>
      <c r="BO73" s="20"/>
      <c r="BP73" s="20"/>
      <c r="BQ73" s="9"/>
      <c r="BR73" s="9"/>
      <c r="BT73" s="9"/>
      <c r="BX73" s="2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</row>
    <row r="74" spans="1:87">
      <c r="A74" s="13">
        <v>23559</v>
      </c>
      <c r="B74" s="12">
        <v>3763.277</v>
      </c>
      <c r="C74" s="9">
        <v>0</v>
      </c>
      <c r="D74" s="24">
        <v>3604</v>
      </c>
      <c r="E74" s="12">
        <v>18.41</v>
      </c>
      <c r="F74" s="12">
        <v>23.378</v>
      </c>
      <c r="G74" s="12">
        <v>58.210999999999999</v>
      </c>
      <c r="H74" s="34">
        <v>45.4</v>
      </c>
      <c r="I74" s="34">
        <v>692.4</v>
      </c>
      <c r="J74" s="35">
        <v>18.440000000000001</v>
      </c>
      <c r="K74" s="35">
        <v>40.161000000000001</v>
      </c>
      <c r="L74" s="35">
        <v>58.011000000000003</v>
      </c>
      <c r="M74" s="5">
        <v>3.2296846355237951</v>
      </c>
      <c r="N74" s="5">
        <v>2.850713667493034</v>
      </c>
      <c r="O74" s="5">
        <v>-0.34132108494573915</v>
      </c>
      <c r="P74" s="6">
        <v>1</v>
      </c>
      <c r="Q74" s="6">
        <v>1</v>
      </c>
      <c r="R74" s="33">
        <v>1</v>
      </c>
      <c r="S74" s="5"/>
      <c r="T74" s="6"/>
      <c r="U74">
        <v>0</v>
      </c>
      <c r="V74" s="9">
        <v>0.12857799999999997</v>
      </c>
      <c r="W74" s="38">
        <v>0</v>
      </c>
      <c r="X74" s="38">
        <v>100.6</v>
      </c>
      <c r="Y74" s="38">
        <v>100.8</v>
      </c>
      <c r="Z74" s="38">
        <v>99.8</v>
      </c>
      <c r="AA74" s="9">
        <v>0.3</v>
      </c>
      <c r="AB74" s="9">
        <v>0</v>
      </c>
      <c r="AC74" s="38">
        <v>4.3164950208089969E-2</v>
      </c>
      <c r="AD74" s="38">
        <v>0</v>
      </c>
      <c r="AE74" s="9">
        <v>4.6565941472618055</v>
      </c>
      <c r="AF74" s="38">
        <v>1</v>
      </c>
      <c r="AG74" s="9"/>
      <c r="AH74" s="9"/>
      <c r="AI74" s="42">
        <v>1.543296056593817</v>
      </c>
      <c r="AJ74" s="42">
        <v>1.0629302065035671</v>
      </c>
      <c r="AK74" s="9"/>
      <c r="AM74" s="9"/>
      <c r="AN74" s="9"/>
      <c r="AO74" s="9"/>
      <c r="AP74" s="9"/>
      <c r="AQ74" s="9"/>
      <c r="AR74" s="9"/>
      <c r="AS74" s="9"/>
      <c r="AU74" s="9"/>
      <c r="AV74" s="9"/>
      <c r="AW74" s="15"/>
      <c r="AX74" s="9"/>
      <c r="BC74" s="9"/>
      <c r="BD74" s="9"/>
      <c r="BE74" s="9"/>
      <c r="BF74" s="9"/>
      <c r="BG74" s="9"/>
      <c r="BL74" s="9"/>
      <c r="BM74" s="9"/>
      <c r="BN74" s="9"/>
      <c r="BO74" s="20"/>
      <c r="BP74" s="20"/>
      <c r="BQ74" s="9"/>
      <c r="BR74" s="9"/>
      <c r="BT74" s="9"/>
      <c r="BX74" s="2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</row>
    <row r="75" spans="1:87">
      <c r="A75" s="13">
        <v>23651</v>
      </c>
      <c r="B75" s="12">
        <v>3776.627</v>
      </c>
      <c r="C75" s="9">
        <v>0</v>
      </c>
      <c r="D75" s="24">
        <v>3620</v>
      </c>
      <c r="E75" s="12">
        <v>18.492999999999999</v>
      </c>
      <c r="F75" s="12">
        <v>23.393000000000001</v>
      </c>
      <c r="G75" s="12">
        <v>58.776000000000003</v>
      </c>
      <c r="H75" s="34">
        <v>45.4</v>
      </c>
      <c r="I75" s="34">
        <v>702.2</v>
      </c>
      <c r="J75" s="35">
        <v>18.501999999999999</v>
      </c>
      <c r="K75" s="35">
        <v>39.799999999999997</v>
      </c>
      <c r="L75" s="35">
        <v>58.17</v>
      </c>
      <c r="M75" s="5">
        <v>-0.69096669091923768</v>
      </c>
      <c r="N75" s="5">
        <v>-1.5211768140506523</v>
      </c>
      <c r="O75" s="5">
        <v>6.5458755874533855E-2</v>
      </c>
      <c r="P75" s="6">
        <v>1</v>
      </c>
      <c r="Q75" s="6">
        <v>1</v>
      </c>
      <c r="R75" s="33">
        <v>1</v>
      </c>
      <c r="S75" s="5"/>
      <c r="T75" s="6"/>
      <c r="U75">
        <v>0</v>
      </c>
      <c r="V75" s="9">
        <v>-8.3570000000000588E-3</v>
      </c>
      <c r="W75" s="38">
        <v>0</v>
      </c>
      <c r="X75" s="38">
        <v>99.9</v>
      </c>
      <c r="Y75" s="38">
        <v>100.9</v>
      </c>
      <c r="Z75" s="38">
        <v>101.8</v>
      </c>
      <c r="AA75" s="9">
        <v>1.6</v>
      </c>
      <c r="AB75" s="9">
        <v>0</v>
      </c>
      <c r="AC75" s="38">
        <v>5.3828537852039116E-2</v>
      </c>
      <c r="AD75" s="38">
        <v>0</v>
      </c>
      <c r="AE75" s="9">
        <v>2.7808131778703338</v>
      </c>
      <c r="AF75" s="38">
        <v>1</v>
      </c>
      <c r="AG75" s="9"/>
      <c r="AH75" s="9"/>
      <c r="AI75" s="42">
        <v>1.735166814859932</v>
      </c>
      <c r="AJ75" s="42">
        <v>1.2227940476331109</v>
      </c>
      <c r="AK75" s="9"/>
      <c r="AM75" s="9"/>
      <c r="AN75" s="9"/>
      <c r="AO75" s="9"/>
      <c r="AP75" s="9"/>
      <c r="AQ75" s="9"/>
      <c r="AR75" s="9"/>
      <c r="AS75" s="9"/>
      <c r="AU75" s="9"/>
      <c r="AV75" s="9"/>
      <c r="AW75" s="15"/>
      <c r="AX75" s="9"/>
      <c r="BC75" s="9"/>
      <c r="BD75" s="9"/>
      <c r="BE75" s="9"/>
      <c r="BF75" s="9"/>
      <c r="BG75" s="9"/>
      <c r="BL75" s="9"/>
      <c r="BM75" s="9"/>
      <c r="BN75" s="9"/>
      <c r="BO75" s="20"/>
      <c r="BP75" s="20"/>
      <c r="BQ75" s="9"/>
      <c r="BR75" s="9"/>
      <c r="BT75" s="9"/>
      <c r="BX75" s="2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</row>
    <row r="76" spans="1:87">
      <c r="A76" s="13">
        <v>23743</v>
      </c>
      <c r="B76" s="12">
        <v>3869.7820000000002</v>
      </c>
      <c r="C76" s="9">
        <v>0</v>
      </c>
      <c r="D76" s="24">
        <v>3718</v>
      </c>
      <c r="E76" s="12">
        <v>18.585999999999999</v>
      </c>
      <c r="F76" s="12">
        <v>24.111999999999998</v>
      </c>
      <c r="G76" s="12">
        <v>59.694000000000003</v>
      </c>
      <c r="H76" s="34">
        <v>51.5</v>
      </c>
      <c r="I76" s="34">
        <v>721.5</v>
      </c>
      <c r="J76" s="35">
        <v>18.562000000000001</v>
      </c>
      <c r="K76" s="35">
        <v>40.392000000000003</v>
      </c>
      <c r="L76" s="35">
        <v>58.222000000000001</v>
      </c>
      <c r="M76" s="5">
        <v>6.5851766738776778</v>
      </c>
      <c r="N76" s="5">
        <v>4.9761455486241388</v>
      </c>
      <c r="O76" s="5">
        <v>0.32494263580164329</v>
      </c>
      <c r="P76" s="6">
        <v>1</v>
      </c>
      <c r="Q76" s="6">
        <v>1</v>
      </c>
      <c r="R76" s="33">
        <v>1</v>
      </c>
      <c r="S76" s="5"/>
      <c r="T76" s="6"/>
      <c r="U76">
        <v>3.2562882218856114E-3</v>
      </c>
      <c r="V76" s="9">
        <v>5.3028000000000075E-2</v>
      </c>
      <c r="W76" s="38">
        <v>-0.64683053000000001</v>
      </c>
      <c r="X76" s="38">
        <v>102</v>
      </c>
      <c r="Y76" s="38">
        <v>101.1</v>
      </c>
      <c r="Z76" s="38">
        <v>103.7</v>
      </c>
      <c r="AA76" s="9">
        <v>-0.1</v>
      </c>
      <c r="AB76" s="9">
        <v>1</v>
      </c>
      <c r="AC76" s="38">
        <v>2.1610177184034463E-2</v>
      </c>
      <c r="AD76" s="38">
        <v>0</v>
      </c>
      <c r="AE76" s="9">
        <v>12.53272622213224</v>
      </c>
      <c r="AF76" s="38">
        <v>1</v>
      </c>
      <c r="AG76" s="9"/>
      <c r="AH76" s="9"/>
      <c r="AI76" s="42">
        <v>1.656848835134453</v>
      </c>
      <c r="AJ76" s="42">
        <v>0.82217551233551245</v>
      </c>
      <c r="AK76" s="9"/>
      <c r="AM76" s="9"/>
      <c r="AN76" s="9"/>
      <c r="AO76" s="9"/>
      <c r="AP76" s="9"/>
      <c r="AQ76" s="9"/>
      <c r="AR76" s="9"/>
      <c r="AS76" s="9"/>
      <c r="AU76" s="9"/>
      <c r="AV76" s="9"/>
      <c r="AW76" s="15"/>
      <c r="AX76" s="9"/>
      <c r="BC76" s="9"/>
      <c r="BD76" s="9"/>
      <c r="BE76" s="9"/>
      <c r="BF76" s="9"/>
      <c r="BG76" s="9"/>
      <c r="BL76" s="9"/>
      <c r="BM76" s="9"/>
      <c r="BN76" s="9"/>
      <c r="BO76" s="20"/>
      <c r="BP76" s="20"/>
      <c r="BQ76" s="9"/>
      <c r="BR76" s="9"/>
      <c r="BT76" s="9"/>
      <c r="BX76" s="2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</row>
    <row r="77" spans="1:87">
      <c r="A77" s="13">
        <v>23833</v>
      </c>
      <c r="B77" s="12">
        <v>3922.6889999999999</v>
      </c>
      <c r="C77" s="9">
        <v>0</v>
      </c>
      <c r="D77" s="24">
        <v>3775</v>
      </c>
      <c r="E77" s="12">
        <v>18.670000000000002</v>
      </c>
      <c r="F77" s="12">
        <v>24.495999999999999</v>
      </c>
      <c r="G77" s="12">
        <v>60.286000000000001</v>
      </c>
      <c r="H77" s="34">
        <v>52.6</v>
      </c>
      <c r="I77" s="34">
        <v>734.1</v>
      </c>
      <c r="J77" s="35">
        <v>18.655000000000001</v>
      </c>
      <c r="K77" s="35">
        <v>40.633000000000003</v>
      </c>
      <c r="L77" s="35">
        <v>58.241999999999997</v>
      </c>
      <c r="M77" s="5">
        <v>0.41216853215673505</v>
      </c>
      <c r="N77" s="5">
        <v>-1.8193183175346626</v>
      </c>
      <c r="O77" s="5">
        <v>5.3517286176022742E-2</v>
      </c>
      <c r="P77" s="6">
        <v>1</v>
      </c>
      <c r="Q77" s="6">
        <v>1</v>
      </c>
      <c r="R77" s="33">
        <v>1</v>
      </c>
      <c r="S77" s="5"/>
      <c r="T77" s="6"/>
      <c r="U77">
        <v>2.0124526747855647E-3</v>
      </c>
      <c r="V77" s="9">
        <v>4.1362999999999928E-2</v>
      </c>
      <c r="W77" s="38">
        <v>0</v>
      </c>
      <c r="X77" s="38">
        <v>105.4</v>
      </c>
      <c r="Y77" s="38">
        <v>109.7</v>
      </c>
      <c r="Z77" s="38">
        <v>103.8</v>
      </c>
      <c r="AA77" s="9">
        <v>0.3</v>
      </c>
      <c r="AB77" s="9">
        <v>1</v>
      </c>
      <c r="AC77" s="38">
        <v>6.8443720808348818E-2</v>
      </c>
      <c r="AD77" s="38">
        <v>0</v>
      </c>
      <c r="AE77" s="9">
        <v>3.8208979935043796</v>
      </c>
      <c r="AF77" s="38">
        <v>1</v>
      </c>
      <c r="AG77" s="9"/>
      <c r="AH77" s="9"/>
      <c r="AI77" s="42">
        <v>1.234954109572308</v>
      </c>
      <c r="AJ77" s="42">
        <v>1.4070300474719031</v>
      </c>
      <c r="AK77" s="9"/>
      <c r="AM77" s="9"/>
      <c r="AN77" s="9"/>
      <c r="AO77" s="9"/>
      <c r="AP77" s="9"/>
      <c r="AQ77" s="9"/>
      <c r="AR77" s="9"/>
      <c r="AS77" s="9"/>
      <c r="AU77" s="9"/>
      <c r="AV77" s="9"/>
      <c r="AW77" s="15"/>
      <c r="AX77" s="9"/>
      <c r="BC77" s="9"/>
      <c r="BD77" s="9"/>
      <c r="BE77" s="9"/>
      <c r="BF77" s="9"/>
      <c r="BG77" s="9"/>
      <c r="BL77" s="9"/>
      <c r="BM77" s="9"/>
      <c r="BN77" s="9"/>
      <c r="BO77" s="20"/>
      <c r="BP77" s="20"/>
      <c r="BQ77" s="9"/>
      <c r="BR77" s="9"/>
      <c r="BT77" s="9"/>
      <c r="BX77" s="2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</row>
    <row r="78" spans="1:87">
      <c r="A78" s="13">
        <v>23924</v>
      </c>
      <c r="B78" s="12">
        <v>4002.3580000000002</v>
      </c>
      <c r="C78" s="9">
        <v>0</v>
      </c>
      <c r="D78" s="24">
        <v>3854</v>
      </c>
      <c r="E78" s="12">
        <v>18.744</v>
      </c>
      <c r="F78" s="12">
        <v>24.994</v>
      </c>
      <c r="G78" s="12">
        <v>60.427999999999997</v>
      </c>
      <c r="H78" s="34">
        <v>53.6</v>
      </c>
      <c r="I78" s="34">
        <v>747.3</v>
      </c>
      <c r="J78" s="35">
        <v>18.724</v>
      </c>
      <c r="K78" s="35">
        <v>41.362000000000002</v>
      </c>
      <c r="L78" s="35">
        <v>58.680999999999997</v>
      </c>
      <c r="M78" s="5">
        <v>5.841766958014488</v>
      </c>
      <c r="N78" s="5">
        <v>3.585200876551327</v>
      </c>
      <c r="O78" s="5">
        <v>-1.2247424565086686</v>
      </c>
      <c r="P78" s="6">
        <v>1</v>
      </c>
      <c r="Q78" s="6">
        <v>1</v>
      </c>
      <c r="R78" s="33">
        <v>1</v>
      </c>
      <c r="S78" s="5"/>
      <c r="T78" s="6"/>
      <c r="U78">
        <v>1.9769650164870482E-2</v>
      </c>
      <c r="V78" s="9">
        <v>0.15570100000000009</v>
      </c>
      <c r="W78" s="38">
        <v>-0.241312741</v>
      </c>
      <c r="X78" s="38">
        <v>103.4</v>
      </c>
      <c r="Y78" s="38">
        <v>103.6</v>
      </c>
      <c r="Z78" s="38">
        <v>105</v>
      </c>
      <c r="AA78" s="9">
        <v>1</v>
      </c>
      <c r="AB78" s="9">
        <v>1</v>
      </c>
      <c r="AC78" s="38">
        <v>6.4573354401026517E-2</v>
      </c>
      <c r="AD78" s="38">
        <v>0</v>
      </c>
      <c r="AE78" s="9">
        <v>5.9389523949444856</v>
      </c>
      <c r="AF78" s="38">
        <v>1</v>
      </c>
      <c r="AG78" s="9"/>
      <c r="AH78" s="9"/>
      <c r="AI78" s="42">
        <v>0.98812404703455625</v>
      </c>
      <c r="AJ78" s="42">
        <v>0.9373011510106698</v>
      </c>
      <c r="AK78" s="9"/>
      <c r="AM78" s="9"/>
      <c r="AN78" s="9"/>
      <c r="AO78" s="9"/>
      <c r="AP78" s="9"/>
      <c r="AQ78" s="9"/>
      <c r="AR78" s="9"/>
      <c r="AS78" s="9"/>
      <c r="AU78" s="9"/>
      <c r="AV78" s="9"/>
      <c r="AW78" s="15"/>
      <c r="AX78" s="9"/>
      <c r="BC78" s="9"/>
      <c r="BD78" s="9"/>
      <c r="BE78" s="9"/>
      <c r="BF78" s="9"/>
      <c r="BG78" s="9"/>
      <c r="BL78" s="9"/>
      <c r="BM78" s="9"/>
      <c r="BN78" s="9"/>
      <c r="BO78" s="20"/>
      <c r="BP78" s="20"/>
      <c r="BQ78" s="9"/>
      <c r="BR78" s="9"/>
      <c r="BT78" s="9"/>
      <c r="BX78" s="2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</row>
    <row r="79" spans="1:87">
      <c r="A79" s="13">
        <v>24016</v>
      </c>
      <c r="B79" s="12">
        <v>4096.741</v>
      </c>
      <c r="C79" s="9">
        <v>0</v>
      </c>
      <c r="D79" s="24">
        <v>3959</v>
      </c>
      <c r="E79" s="12">
        <v>18.870999999999999</v>
      </c>
      <c r="F79" s="12">
        <v>25.689</v>
      </c>
      <c r="G79" s="12">
        <v>61</v>
      </c>
      <c r="H79" s="34">
        <v>56.4</v>
      </c>
      <c r="I79" s="34">
        <v>768.9</v>
      </c>
      <c r="J79" s="35">
        <v>18.780999999999999</v>
      </c>
      <c r="K79" s="35">
        <v>42.113</v>
      </c>
      <c r="L79" s="35">
        <v>59.238999999999997</v>
      </c>
      <c r="M79" s="5">
        <v>5.485036987324035</v>
      </c>
      <c r="N79" s="5">
        <v>3.9542457570828677</v>
      </c>
      <c r="O79" s="5">
        <v>-1.7433837628609501</v>
      </c>
      <c r="P79" s="6">
        <v>1</v>
      </c>
      <c r="Q79" s="6">
        <v>1</v>
      </c>
      <c r="R79" s="33">
        <v>1</v>
      </c>
      <c r="S79" s="5"/>
      <c r="T79" s="6"/>
      <c r="U79">
        <v>0</v>
      </c>
      <c r="V79" s="9">
        <v>0.11770199999999997</v>
      </c>
      <c r="W79" s="38">
        <v>0</v>
      </c>
      <c r="X79" s="38">
        <v>102.9</v>
      </c>
      <c r="Y79" s="38">
        <v>100.7</v>
      </c>
      <c r="Z79" s="38">
        <v>105.5</v>
      </c>
      <c r="AA79" s="9">
        <v>0.8</v>
      </c>
      <c r="AB79" s="9">
        <v>1</v>
      </c>
      <c r="AC79" s="38">
        <v>6.555366607717672E-2</v>
      </c>
      <c r="AD79" s="38">
        <v>0</v>
      </c>
      <c r="AE79" s="9">
        <v>10.82976713167476</v>
      </c>
      <c r="AF79" s="38">
        <v>1</v>
      </c>
      <c r="AG79" s="9"/>
      <c r="AH79" s="9"/>
      <c r="AI79" s="42">
        <v>0.64667124431092271</v>
      </c>
      <c r="AJ79" s="42">
        <v>0.1259649477835616</v>
      </c>
      <c r="AK79" s="9"/>
      <c r="AM79" s="9"/>
      <c r="AN79" s="9"/>
      <c r="AO79" s="9"/>
      <c r="AP79" s="9"/>
      <c r="AQ79" s="9"/>
      <c r="AR79" s="9"/>
      <c r="AS79" s="9"/>
      <c r="AU79" s="9"/>
      <c r="AV79" s="9"/>
      <c r="AW79" s="15"/>
      <c r="AX79" s="9"/>
      <c r="BC79" s="9"/>
      <c r="BD79" s="9"/>
      <c r="BE79" s="9"/>
      <c r="BF79" s="9"/>
      <c r="BG79" s="9"/>
      <c r="BL79" s="9"/>
      <c r="BM79" s="9"/>
      <c r="BN79" s="9"/>
      <c r="BO79" s="20"/>
      <c r="BP79" s="20"/>
      <c r="BQ79" s="9"/>
      <c r="BR79" s="9"/>
      <c r="BT79" s="9"/>
      <c r="BX79" s="2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</row>
    <row r="80" spans="1:87">
      <c r="A80" s="13">
        <v>24108</v>
      </c>
      <c r="B80" s="12">
        <v>4197.9210000000003</v>
      </c>
      <c r="C80" s="9">
        <v>0</v>
      </c>
      <c r="D80" s="24">
        <v>4073</v>
      </c>
      <c r="E80" s="12">
        <v>18.992999999999999</v>
      </c>
      <c r="F80" s="12">
        <v>26.423999999999999</v>
      </c>
      <c r="G80" s="12">
        <v>61.881</v>
      </c>
      <c r="H80" s="34">
        <v>58.9</v>
      </c>
      <c r="I80" s="34">
        <v>790.8</v>
      </c>
      <c r="J80" s="35">
        <v>18.927</v>
      </c>
      <c r="K80" s="35">
        <v>42.701000000000001</v>
      </c>
      <c r="L80" s="35">
        <v>59.704000000000001</v>
      </c>
      <c r="M80" s="5">
        <v>5.9757235039046055</v>
      </c>
      <c r="N80" s="5">
        <v>5.7268156503255323</v>
      </c>
      <c r="O80" s="5">
        <v>-1.411530559603666</v>
      </c>
      <c r="P80" s="6">
        <v>1</v>
      </c>
      <c r="Q80" s="6">
        <v>1</v>
      </c>
      <c r="R80" s="33">
        <v>1</v>
      </c>
      <c r="S80" s="5"/>
      <c r="T80" s="6"/>
      <c r="U80">
        <v>0</v>
      </c>
      <c r="V80" s="9">
        <v>6.5619999999999901E-2</v>
      </c>
      <c r="W80" s="38">
        <v>-0.22703684499999999</v>
      </c>
      <c r="X80" s="38">
        <v>100</v>
      </c>
      <c r="Y80" s="38">
        <v>100.7</v>
      </c>
      <c r="Z80" s="38">
        <v>100.7</v>
      </c>
      <c r="AA80" s="9">
        <v>0.3</v>
      </c>
      <c r="AB80" s="9">
        <v>1</v>
      </c>
      <c r="AC80" s="38">
        <v>2.6053137248294611E-2</v>
      </c>
      <c r="AD80" s="38">
        <v>0</v>
      </c>
      <c r="AE80" s="9">
        <v>7.5494587982815498</v>
      </c>
      <c r="AF80" s="38">
        <v>1</v>
      </c>
      <c r="AG80" s="9"/>
      <c r="AH80" s="9"/>
      <c r="AI80" s="42">
        <v>1.1060590893146049</v>
      </c>
      <c r="AJ80" s="42">
        <v>0.98487658386912091</v>
      </c>
      <c r="AK80" s="9"/>
      <c r="AM80" s="9"/>
      <c r="AN80" s="9"/>
      <c r="AO80" s="9"/>
      <c r="AP80" s="9"/>
      <c r="AQ80" s="9"/>
      <c r="AR80" s="9"/>
      <c r="AS80" s="9"/>
      <c r="AU80" s="9"/>
      <c r="AV80" s="9"/>
      <c r="AW80" s="15"/>
      <c r="AX80" s="9"/>
      <c r="BC80" s="9"/>
      <c r="BD80" s="9"/>
      <c r="BE80" s="9"/>
      <c r="BF80" s="9"/>
      <c r="BG80" s="9"/>
      <c r="BL80" s="9"/>
      <c r="BM80" s="9"/>
      <c r="BN80" s="9"/>
      <c r="BO80" s="20"/>
      <c r="BP80" s="20"/>
      <c r="BQ80" s="9"/>
      <c r="BR80" s="9"/>
      <c r="BT80" s="9"/>
      <c r="BX80" s="2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</row>
    <row r="81" spans="1:87">
      <c r="A81" s="13">
        <v>24198</v>
      </c>
      <c r="B81" s="12">
        <v>4215.116</v>
      </c>
      <c r="C81" s="9">
        <v>0</v>
      </c>
      <c r="D81" s="24">
        <v>4112</v>
      </c>
      <c r="E81" s="12">
        <v>19.149000000000001</v>
      </c>
      <c r="F81" s="12">
        <v>26.521999999999998</v>
      </c>
      <c r="G81" s="12">
        <v>62.488</v>
      </c>
      <c r="H81" s="34">
        <v>57.7</v>
      </c>
      <c r="I81" s="34">
        <v>802.6</v>
      </c>
      <c r="J81" s="35">
        <v>19.082999999999998</v>
      </c>
      <c r="K81" s="35">
        <v>42.442999999999998</v>
      </c>
      <c r="L81" s="35">
        <v>60.11</v>
      </c>
      <c r="M81" s="5">
        <v>-2.5724328205033888</v>
      </c>
      <c r="N81" s="5">
        <v>-1.4138765253780319</v>
      </c>
      <c r="O81" s="5">
        <v>-1.4930165670776359</v>
      </c>
      <c r="P81" s="6">
        <v>1</v>
      </c>
      <c r="Q81" s="6">
        <v>1</v>
      </c>
      <c r="R81" s="33">
        <v>1</v>
      </c>
      <c r="S81" s="5"/>
      <c r="T81" s="6"/>
      <c r="U81">
        <v>1.2974365575450038E-3</v>
      </c>
      <c r="V81" s="9">
        <v>3.0030000000000001E-2</v>
      </c>
      <c r="W81" s="38">
        <v>0.11539940999999999</v>
      </c>
      <c r="X81" s="38">
        <v>95.7</v>
      </c>
      <c r="Y81" s="38">
        <v>96.4</v>
      </c>
      <c r="Z81" s="38">
        <v>96.7</v>
      </c>
      <c r="AA81" s="9">
        <v>0.7</v>
      </c>
      <c r="AB81" s="9">
        <v>1</v>
      </c>
      <c r="AC81" s="38">
        <v>7.0774844496858336E-2</v>
      </c>
      <c r="AD81" s="38">
        <v>0</v>
      </c>
      <c r="AE81" s="9">
        <v>7.9943645833044252</v>
      </c>
      <c r="AF81" s="38">
        <v>1</v>
      </c>
      <c r="AG81" s="9"/>
      <c r="AH81" s="9"/>
      <c r="AI81" s="42">
        <v>0.74998489600296114</v>
      </c>
      <c r="AJ81" s="42">
        <v>0.87486510300447451</v>
      </c>
      <c r="AK81" s="9"/>
      <c r="AM81" s="9"/>
      <c r="AN81" s="9"/>
      <c r="AO81" s="9"/>
      <c r="AP81" s="9"/>
      <c r="AQ81" s="9"/>
      <c r="AR81" s="9"/>
      <c r="AS81" s="9"/>
      <c r="AU81" s="9"/>
      <c r="AV81" s="9"/>
      <c r="AW81" s="15"/>
      <c r="AX81" s="9"/>
      <c r="BC81" s="9"/>
      <c r="BD81" s="9"/>
      <c r="BE81" s="9"/>
      <c r="BF81" s="9"/>
      <c r="BG81" s="9"/>
      <c r="BL81" s="9"/>
      <c r="BM81" s="9"/>
      <c r="BN81" s="9"/>
      <c r="BO81" s="20"/>
      <c r="BP81" s="20"/>
      <c r="BQ81" s="9"/>
      <c r="BR81" s="9"/>
      <c r="BT81" s="9"/>
      <c r="BX81" s="2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</row>
    <row r="82" spans="1:87">
      <c r="A82" s="13">
        <v>24289</v>
      </c>
      <c r="B82" s="12">
        <v>4245.17</v>
      </c>
      <c r="C82" s="9">
        <v>0</v>
      </c>
      <c r="D82" s="24">
        <v>4169</v>
      </c>
      <c r="E82" s="12">
        <v>19.335000000000001</v>
      </c>
      <c r="F82" s="12">
        <v>26.687000000000001</v>
      </c>
      <c r="G82" s="12">
        <v>62.78</v>
      </c>
      <c r="H82" s="34">
        <v>56.4</v>
      </c>
      <c r="I82" s="34">
        <v>816</v>
      </c>
      <c r="J82" s="35">
        <v>19.228999999999999</v>
      </c>
      <c r="K82" s="35">
        <v>42.509</v>
      </c>
      <c r="L82" s="35">
        <v>60.447000000000003</v>
      </c>
      <c r="M82" s="5">
        <v>-1.2277835865904829</v>
      </c>
      <c r="N82" s="5">
        <v>0.99149812334966247</v>
      </c>
      <c r="O82" s="5">
        <v>-1.6930105072892399</v>
      </c>
      <c r="P82" s="6">
        <v>1</v>
      </c>
      <c r="Q82" s="6">
        <v>1</v>
      </c>
      <c r="R82" s="33">
        <v>1</v>
      </c>
      <c r="S82" s="5"/>
      <c r="T82" s="6"/>
      <c r="U82">
        <v>1.4103732922307476E-2</v>
      </c>
      <c r="V82" s="9">
        <v>-4.1201999999999961E-2</v>
      </c>
      <c r="W82" s="38">
        <v>0</v>
      </c>
      <c r="X82" s="38">
        <v>91.2</v>
      </c>
      <c r="Y82" s="38">
        <v>92.7</v>
      </c>
      <c r="Z82" s="38">
        <v>91.4</v>
      </c>
      <c r="AA82" s="9">
        <v>0.5</v>
      </c>
      <c r="AB82" s="9">
        <v>1</v>
      </c>
      <c r="AC82" s="38">
        <v>5.6585704509660717E-2</v>
      </c>
      <c r="AD82" s="38">
        <v>0</v>
      </c>
      <c r="AE82" s="9">
        <v>-6.4332039990222523E-2</v>
      </c>
      <c r="AF82" s="38">
        <v>1</v>
      </c>
      <c r="AG82" s="9"/>
      <c r="AH82" s="9"/>
      <c r="AI82" s="42">
        <v>1.25252439975493</v>
      </c>
      <c r="AJ82" s="42">
        <v>1.168297897751847</v>
      </c>
      <c r="AK82" s="9"/>
      <c r="AM82" s="9"/>
      <c r="AN82" s="9"/>
      <c r="AO82" s="9"/>
      <c r="AP82" s="9"/>
      <c r="AQ82" s="9"/>
      <c r="AR82" s="9"/>
      <c r="AS82" s="9"/>
      <c r="AU82" s="9"/>
      <c r="AV82" s="9"/>
      <c r="AW82" s="15"/>
      <c r="AX82" s="9"/>
      <c r="BC82" s="9"/>
      <c r="BD82" s="9"/>
      <c r="BE82" s="9"/>
      <c r="BF82" s="9"/>
      <c r="BG82" s="9"/>
      <c r="BL82" s="9"/>
      <c r="BM82" s="9"/>
      <c r="BN82" s="9"/>
      <c r="BO82" s="20"/>
      <c r="BP82" s="20"/>
      <c r="BQ82" s="9"/>
      <c r="BR82" s="9"/>
      <c r="BT82" s="9"/>
      <c r="BX82" s="2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</row>
    <row r="83" spans="1:87">
      <c r="A83" s="13">
        <v>24381</v>
      </c>
      <c r="B83" s="12">
        <v>4281.5829999999996</v>
      </c>
      <c r="C83" s="9">
        <v>0</v>
      </c>
      <c r="D83" s="24">
        <v>4228</v>
      </c>
      <c r="E83" s="12">
        <v>19.498999999999999</v>
      </c>
      <c r="F83" s="12">
        <v>26.797000000000001</v>
      </c>
      <c r="G83" s="12">
        <v>62.610999999999997</v>
      </c>
      <c r="H83" s="34">
        <v>57.9</v>
      </c>
      <c r="I83" s="34">
        <v>830.2</v>
      </c>
      <c r="J83" s="35">
        <v>19.379000000000001</v>
      </c>
      <c r="K83" s="35">
        <v>42.798999999999999</v>
      </c>
      <c r="L83" s="35">
        <v>60.768999999999998</v>
      </c>
      <c r="M83" s="5">
        <v>0.9122619777713239</v>
      </c>
      <c r="N83" s="5">
        <v>3.5644463653736516</v>
      </c>
      <c r="O83" s="5">
        <v>-1.9603656302244552</v>
      </c>
      <c r="P83" s="6">
        <v>1</v>
      </c>
      <c r="Q83" s="6">
        <v>1</v>
      </c>
      <c r="R83" s="33">
        <v>1</v>
      </c>
      <c r="S83" s="5"/>
      <c r="T83" s="6"/>
      <c r="U83">
        <v>2.7485741771456056E-2</v>
      </c>
      <c r="V83" s="9">
        <v>8.8564000000000087E-2</v>
      </c>
      <c r="W83" s="38">
        <v>0</v>
      </c>
      <c r="X83" s="38">
        <v>88.3</v>
      </c>
      <c r="Y83" s="38">
        <v>85.8</v>
      </c>
      <c r="Z83" s="38">
        <v>90.9</v>
      </c>
      <c r="AA83" s="9">
        <v>-0.3</v>
      </c>
      <c r="AB83" s="9">
        <v>1</v>
      </c>
      <c r="AC83" s="38">
        <v>2.4726595419181541E-2</v>
      </c>
      <c r="AD83" s="38">
        <v>0</v>
      </c>
      <c r="AE83" s="9">
        <v>5.0472622345011375</v>
      </c>
      <c r="AF83" s="38">
        <v>1</v>
      </c>
      <c r="AG83" s="9"/>
      <c r="AH83" s="9"/>
      <c r="AI83" s="42">
        <v>1.0197342713932069</v>
      </c>
      <c r="AJ83" s="42">
        <v>1.02745082674838</v>
      </c>
      <c r="AK83" s="9"/>
      <c r="AM83" s="9"/>
      <c r="AN83" s="9"/>
      <c r="AO83" s="9"/>
      <c r="AP83" s="9"/>
      <c r="AQ83" s="9"/>
      <c r="AR83" s="9"/>
      <c r="AS83" s="9"/>
      <c r="AU83" s="9"/>
      <c r="AV83" s="9"/>
      <c r="AW83" s="15"/>
      <c r="AX83" s="9"/>
      <c r="BC83" s="9"/>
      <c r="BD83" s="9"/>
      <c r="BE83" s="9"/>
      <c r="BF83" s="9"/>
      <c r="BG83" s="9"/>
      <c r="BL83" s="9"/>
      <c r="BM83" s="9"/>
      <c r="BN83" s="9"/>
      <c r="BO83" s="20"/>
      <c r="BP83" s="20"/>
      <c r="BQ83" s="9"/>
      <c r="BR83" s="19"/>
      <c r="BT83" s="9"/>
      <c r="BX83" s="2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</row>
    <row r="84" spans="1:87">
      <c r="A84" s="13">
        <v>24473</v>
      </c>
      <c r="B84" s="12">
        <v>4320.9470000000001</v>
      </c>
      <c r="C84" s="9">
        <v>0</v>
      </c>
      <c r="D84" s="24">
        <v>4274</v>
      </c>
      <c r="E84" s="12">
        <v>19.579999999999998</v>
      </c>
      <c r="F84" s="12">
        <v>26.992999999999999</v>
      </c>
      <c r="G84" s="12">
        <v>62.540999999999997</v>
      </c>
      <c r="H84" s="34">
        <v>56.2</v>
      </c>
      <c r="I84" s="34">
        <v>838.5</v>
      </c>
      <c r="J84" s="35">
        <v>19.434999999999999</v>
      </c>
      <c r="K84" s="35">
        <v>43.161000000000001</v>
      </c>
      <c r="L84" s="35">
        <v>61.433999999999997</v>
      </c>
      <c r="M84" s="5">
        <v>0.3974146945428208</v>
      </c>
      <c r="N84" s="5">
        <v>2.8295080411068074</v>
      </c>
      <c r="O84" s="5">
        <v>-2.916034738287399</v>
      </c>
      <c r="P84" s="6">
        <v>1</v>
      </c>
      <c r="Q84" s="6">
        <v>1</v>
      </c>
      <c r="R84" s="33">
        <v>1</v>
      </c>
      <c r="S84" s="5"/>
      <c r="T84" s="6"/>
      <c r="U84">
        <v>4.8082863607955766E-2</v>
      </c>
      <c r="V84" s="9">
        <v>-9.8389999999999311E-3</v>
      </c>
      <c r="W84" s="38">
        <v>0</v>
      </c>
      <c r="X84" s="38">
        <v>94.1</v>
      </c>
      <c r="Y84" s="38">
        <v>91.1</v>
      </c>
      <c r="Z84" s="38">
        <v>97.1</v>
      </c>
      <c r="AA84" s="9">
        <v>1.4</v>
      </c>
      <c r="AB84" s="9">
        <v>1</v>
      </c>
      <c r="AC84" s="38">
        <v>6.3412563447073689E-2</v>
      </c>
      <c r="AD84" s="38">
        <v>0</v>
      </c>
      <c r="AE84" s="9">
        <v>-1.5938952797349581</v>
      </c>
      <c r="AF84" s="38">
        <v>1</v>
      </c>
      <c r="AG84" s="9"/>
      <c r="AH84" s="9"/>
      <c r="AI84" s="42">
        <v>1.8303306703339099</v>
      </c>
      <c r="AJ84" s="42">
        <v>1.7483755703117601</v>
      </c>
      <c r="AK84" s="9"/>
      <c r="AM84" s="9"/>
      <c r="AN84" s="9"/>
      <c r="AO84" s="9"/>
      <c r="AP84" s="9"/>
      <c r="AQ84" s="9"/>
      <c r="AR84" s="9"/>
      <c r="AS84" s="9"/>
      <c r="AU84" s="9"/>
      <c r="AV84" s="9"/>
      <c r="AW84" s="15"/>
      <c r="AX84" s="9"/>
      <c r="BC84" s="9"/>
      <c r="BD84" s="9"/>
      <c r="BE84" s="9"/>
      <c r="BF84" s="9"/>
      <c r="BG84" s="9"/>
      <c r="BL84" s="9"/>
      <c r="BM84" s="9"/>
      <c r="BN84" s="9"/>
      <c r="BO84" s="20"/>
      <c r="BP84" s="20"/>
      <c r="BQ84" s="9"/>
      <c r="BR84" s="9"/>
      <c r="BT84" s="9"/>
      <c r="BX84" s="2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</row>
    <row r="85" spans="1:87">
      <c r="A85" s="13">
        <v>24563</v>
      </c>
      <c r="B85" s="12">
        <v>4324.6959999999999</v>
      </c>
      <c r="C85" s="9">
        <v>0</v>
      </c>
      <c r="D85" s="24">
        <v>4288</v>
      </c>
      <c r="E85" s="12">
        <v>19.678999999999998</v>
      </c>
      <c r="F85" s="12">
        <v>26.937999999999999</v>
      </c>
      <c r="G85" s="12">
        <v>62.158000000000001</v>
      </c>
      <c r="H85" s="34">
        <v>55.5</v>
      </c>
      <c r="I85" s="34">
        <v>847.4</v>
      </c>
      <c r="J85" s="35">
        <v>19.527999999999999</v>
      </c>
      <c r="K85" s="35">
        <v>43.338000000000001</v>
      </c>
      <c r="L85" s="35">
        <v>62.055</v>
      </c>
      <c r="M85" s="5">
        <v>1.6578096454821316</v>
      </c>
      <c r="N85" s="5">
        <v>3.3797547465579827</v>
      </c>
      <c r="O85" s="5">
        <v>-2.6756165196988273</v>
      </c>
      <c r="P85" s="6">
        <v>1</v>
      </c>
      <c r="Q85" s="6">
        <v>1</v>
      </c>
      <c r="R85" s="33">
        <v>1</v>
      </c>
      <c r="S85" s="5"/>
      <c r="T85" s="6"/>
      <c r="U85">
        <v>7.3370223196767915E-3</v>
      </c>
      <c r="V85" s="9">
        <v>0.14174799999999999</v>
      </c>
      <c r="W85" s="38">
        <v>0</v>
      </c>
      <c r="X85" s="38">
        <v>95.9</v>
      </c>
      <c r="Y85" s="38">
        <v>99.1</v>
      </c>
      <c r="Z85" s="38">
        <v>95</v>
      </c>
      <c r="AA85" s="9">
        <v>1.3</v>
      </c>
      <c r="AB85" s="9">
        <v>1</v>
      </c>
      <c r="AC85" s="38">
        <v>4.6878259485808815E-2</v>
      </c>
      <c r="AD85" s="38">
        <v>0</v>
      </c>
      <c r="AE85" s="9">
        <v>8.5978247404421726</v>
      </c>
      <c r="AF85" s="38">
        <v>1</v>
      </c>
      <c r="AG85" s="9"/>
      <c r="AH85" s="9"/>
      <c r="AI85" s="42">
        <v>1.1105133647961101</v>
      </c>
      <c r="AJ85" s="42">
        <v>-0.16428777294051369</v>
      </c>
      <c r="AK85" s="9"/>
      <c r="AM85" s="9"/>
      <c r="AN85" s="9"/>
      <c r="AO85" s="9"/>
      <c r="AP85" s="9"/>
      <c r="AQ85" s="9"/>
      <c r="AR85" s="9"/>
      <c r="AS85" s="9"/>
      <c r="AU85" s="9"/>
      <c r="AV85" s="9"/>
      <c r="AW85" s="15"/>
      <c r="AX85" s="9"/>
      <c r="BC85" s="9"/>
      <c r="BD85" s="9"/>
      <c r="BE85" s="9"/>
      <c r="BF85" s="9"/>
      <c r="BG85" s="9"/>
      <c r="BL85" s="9"/>
      <c r="BM85" s="9"/>
      <c r="BN85" s="9"/>
      <c r="BO85" s="20"/>
      <c r="BP85" s="20"/>
      <c r="BQ85" s="9"/>
      <c r="BR85" s="9"/>
      <c r="BT85" s="9"/>
      <c r="BX85" s="2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</row>
    <row r="86" spans="1:87">
      <c r="A86" s="13">
        <v>24654</v>
      </c>
      <c r="B86" s="12">
        <v>4362.0010000000002</v>
      </c>
      <c r="C86" s="9">
        <v>0</v>
      </c>
      <c r="D86" s="24">
        <v>4355</v>
      </c>
      <c r="E86" s="12">
        <v>19.867000000000001</v>
      </c>
      <c r="F86" s="12">
        <v>27.135999999999999</v>
      </c>
      <c r="G86" s="12">
        <v>62.362000000000002</v>
      </c>
      <c r="H86" s="34">
        <v>55.7</v>
      </c>
      <c r="I86" s="34">
        <v>864.5</v>
      </c>
      <c r="J86" s="35">
        <v>19.707999999999998</v>
      </c>
      <c r="K86" s="35">
        <v>43.514000000000003</v>
      </c>
      <c r="L86" s="35">
        <v>62.271999999999998</v>
      </c>
      <c r="M86" s="5">
        <v>9.8509072111133286E-2</v>
      </c>
      <c r="N86" s="5">
        <v>0.91998790990986135</v>
      </c>
      <c r="O86" s="5">
        <v>-2.3458810794610589</v>
      </c>
      <c r="P86" s="6">
        <v>1</v>
      </c>
      <c r="Q86" s="6">
        <v>1</v>
      </c>
      <c r="R86" s="33">
        <v>1</v>
      </c>
      <c r="S86" s="5"/>
      <c r="T86" s="6"/>
      <c r="U86">
        <v>4.6212715128428165E-3</v>
      </c>
      <c r="V86" s="9">
        <v>-0.1430680000000002</v>
      </c>
      <c r="W86" s="38">
        <v>-0.19113606499999999</v>
      </c>
      <c r="X86" s="38">
        <v>97</v>
      </c>
      <c r="Y86" s="38">
        <v>100.2</v>
      </c>
      <c r="Z86" s="38">
        <v>96.2</v>
      </c>
      <c r="AA86" s="9">
        <v>0.3</v>
      </c>
      <c r="AB86" s="9">
        <v>1</v>
      </c>
      <c r="AC86" s="38">
        <v>5.00563401957137E-2</v>
      </c>
      <c r="AD86" s="38">
        <v>0</v>
      </c>
      <c r="AE86" s="9">
        <v>2.038802758645164</v>
      </c>
      <c r="AF86" s="38">
        <v>1</v>
      </c>
      <c r="AG86" s="9"/>
      <c r="AH86" s="9"/>
      <c r="AI86" s="42">
        <v>1.9709967345739241</v>
      </c>
      <c r="AJ86" s="42">
        <v>3.1218734291703751</v>
      </c>
      <c r="AK86" s="9"/>
      <c r="AM86" s="9"/>
      <c r="AN86" s="9"/>
      <c r="AO86" s="9"/>
      <c r="AP86" s="9"/>
      <c r="AQ86" s="9"/>
      <c r="AR86" s="9"/>
      <c r="AS86" s="9"/>
      <c r="AU86" s="9"/>
      <c r="AV86" s="9"/>
      <c r="AW86" s="15"/>
      <c r="AX86" s="9"/>
      <c r="BC86" s="9"/>
      <c r="BD86" s="9"/>
      <c r="BE86" s="9"/>
      <c r="BF86" s="9"/>
      <c r="BG86" s="9"/>
      <c r="BL86" s="9"/>
      <c r="BM86" s="9"/>
      <c r="BN86" s="9"/>
      <c r="BO86" s="20"/>
      <c r="BP86" s="20"/>
      <c r="BQ86" s="9"/>
      <c r="BR86" s="9"/>
      <c r="BT86" s="9"/>
      <c r="BX86" s="2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</row>
    <row r="87" spans="1:87">
      <c r="A87" s="13">
        <v>24746</v>
      </c>
      <c r="B87" s="12">
        <v>4397.1080000000002</v>
      </c>
      <c r="C87" s="9">
        <v>0</v>
      </c>
      <c r="D87" s="24">
        <v>4425</v>
      </c>
      <c r="E87" s="12">
        <v>20.085999999999999</v>
      </c>
      <c r="F87" s="12">
        <v>27.356999999999999</v>
      </c>
      <c r="G87" s="12">
        <v>62.646000000000001</v>
      </c>
      <c r="H87" s="34">
        <v>57.4</v>
      </c>
      <c r="I87" s="34">
        <v>882.8</v>
      </c>
      <c r="J87" s="35">
        <v>19.876999999999999</v>
      </c>
      <c r="K87" s="35">
        <v>43.668999999999997</v>
      </c>
      <c r="L87" s="35">
        <v>62.433</v>
      </c>
      <c r="M87" s="5">
        <v>0.98865994697252624</v>
      </c>
      <c r="N87" s="5">
        <v>0.92275825462433791</v>
      </c>
      <c r="O87" s="5">
        <v>-2.276547209910468</v>
      </c>
      <c r="P87" s="6">
        <v>1</v>
      </c>
      <c r="Q87" s="6">
        <v>1</v>
      </c>
      <c r="R87" s="33">
        <v>1</v>
      </c>
      <c r="S87" s="5"/>
      <c r="T87" s="6"/>
      <c r="U87">
        <v>-1.1947596527395226E-2</v>
      </c>
      <c r="V87" s="9">
        <v>4.970000000000141E-3</v>
      </c>
      <c r="W87" s="38">
        <v>0</v>
      </c>
      <c r="X87" s="38">
        <v>92.9</v>
      </c>
      <c r="Y87" s="38">
        <v>96.3</v>
      </c>
      <c r="Z87" s="38">
        <v>91.8</v>
      </c>
      <c r="AA87" s="9">
        <v>0.3</v>
      </c>
      <c r="AB87" s="9">
        <v>1</v>
      </c>
      <c r="AC87" s="38">
        <v>3.5850595762696003E-2</v>
      </c>
      <c r="AD87" s="38">
        <v>0</v>
      </c>
      <c r="AE87" s="9">
        <v>1.2987245374146639</v>
      </c>
      <c r="AF87" s="38">
        <v>1</v>
      </c>
      <c r="AG87" s="9"/>
      <c r="AH87" s="9"/>
      <c r="AI87" s="42">
        <v>1.5717192397761439</v>
      </c>
      <c r="AJ87" s="42">
        <v>1.5968996061576111</v>
      </c>
      <c r="AK87" s="9"/>
      <c r="AM87" s="9"/>
      <c r="AN87" s="9"/>
      <c r="AO87" s="9"/>
      <c r="AP87" s="9"/>
      <c r="AQ87" s="9"/>
      <c r="AR87" s="9"/>
      <c r="AS87" s="9"/>
      <c r="AU87" s="9"/>
      <c r="AV87" s="9"/>
      <c r="AW87" s="15"/>
      <c r="AX87" s="9"/>
      <c r="BC87" s="9"/>
      <c r="BD87" s="9"/>
      <c r="BE87" s="9"/>
      <c r="BF87" s="9"/>
      <c r="BG87" s="9"/>
      <c r="BL87" s="9"/>
      <c r="BM87" s="9"/>
      <c r="BN87" s="9"/>
      <c r="BO87" s="20"/>
      <c r="BP87" s="20"/>
      <c r="BQ87" s="9"/>
      <c r="BR87" s="19"/>
      <c r="BT87" s="9"/>
      <c r="BX87" s="2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</row>
    <row r="88" spans="1:87">
      <c r="A88" s="13">
        <v>24838</v>
      </c>
      <c r="B88" s="12">
        <v>4486.3819999999996</v>
      </c>
      <c r="C88" s="9">
        <v>0</v>
      </c>
      <c r="D88" s="24">
        <v>4556</v>
      </c>
      <c r="E88" s="12">
        <v>20.309000000000001</v>
      </c>
      <c r="F88" s="12">
        <v>28.018000000000001</v>
      </c>
      <c r="G88" s="12">
        <v>62.756999999999998</v>
      </c>
      <c r="H88" s="34">
        <v>54.2</v>
      </c>
      <c r="I88" s="34">
        <v>906.1</v>
      </c>
      <c r="J88" s="35">
        <v>20.087</v>
      </c>
      <c r="K88" s="35">
        <v>44.645000000000003</v>
      </c>
      <c r="L88" s="35">
        <v>63.487000000000002</v>
      </c>
      <c r="M88" s="5">
        <v>6.2156924798822901</v>
      </c>
      <c r="N88" s="5">
        <v>5.4026435409414439</v>
      </c>
      <c r="O88" s="5">
        <v>-2.1983721409016779</v>
      </c>
      <c r="P88" s="6">
        <v>1</v>
      </c>
      <c r="Q88" s="6">
        <v>1</v>
      </c>
      <c r="R88" s="33">
        <v>1</v>
      </c>
      <c r="S88" s="5"/>
      <c r="T88" s="6"/>
      <c r="U88">
        <v>5.8636039777788746E-3</v>
      </c>
      <c r="V88" s="9">
        <v>-7.8906000000000143E-2</v>
      </c>
      <c r="W88" s="38">
        <v>0</v>
      </c>
      <c r="X88" s="38">
        <v>97.2</v>
      </c>
      <c r="Y88" s="38">
        <v>102.3</v>
      </c>
      <c r="Z88" s="38">
        <v>95</v>
      </c>
      <c r="AA88" s="9">
        <v>3.3</v>
      </c>
      <c r="AB88" s="9">
        <v>1</v>
      </c>
      <c r="AC88" s="38">
        <v>0.11385701812811377</v>
      </c>
      <c r="AD88" s="38">
        <v>0</v>
      </c>
      <c r="AE88" s="9">
        <v>2.5340132908785895</v>
      </c>
      <c r="AF88" s="38">
        <v>1</v>
      </c>
      <c r="AG88" s="9"/>
      <c r="AH88" s="9"/>
      <c r="AI88" s="42">
        <v>1.3142854060255491</v>
      </c>
      <c r="AJ88" s="42">
        <v>1.270707617550451</v>
      </c>
      <c r="AK88" s="9"/>
      <c r="AM88" s="9"/>
      <c r="AN88" s="9"/>
      <c r="AO88" s="9"/>
      <c r="AP88" s="9"/>
      <c r="AQ88" s="9"/>
      <c r="AR88" s="9"/>
      <c r="AS88" s="9"/>
      <c r="AU88" s="9"/>
      <c r="AV88" s="9"/>
      <c r="AW88" s="15"/>
      <c r="AX88" s="9"/>
      <c r="BC88" s="9"/>
      <c r="BD88" s="9"/>
      <c r="BE88" s="9"/>
      <c r="BF88" s="9"/>
      <c r="BG88" s="9"/>
      <c r="BL88" s="9"/>
      <c r="BM88" s="9"/>
      <c r="BN88" s="9"/>
      <c r="BO88" s="20"/>
      <c r="BP88" s="20"/>
      <c r="BQ88" s="9"/>
      <c r="BR88" s="9"/>
      <c r="BT88" s="9"/>
      <c r="BX88" s="2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</row>
    <row r="89" spans="1:87">
      <c r="A89" s="13">
        <v>24929</v>
      </c>
      <c r="B89" s="12">
        <v>4562.1570000000002</v>
      </c>
      <c r="C89" s="9">
        <v>0</v>
      </c>
      <c r="D89" s="24">
        <v>4671</v>
      </c>
      <c r="E89" s="12">
        <v>20.523</v>
      </c>
      <c r="F89" s="12">
        <v>28.556999999999999</v>
      </c>
      <c r="G89" s="12">
        <v>63.359000000000002</v>
      </c>
      <c r="H89" s="34">
        <v>57.1</v>
      </c>
      <c r="I89" s="34">
        <v>929.6</v>
      </c>
      <c r="J89" s="35">
        <v>20.291</v>
      </c>
      <c r="K89" s="35">
        <v>45.070999999999998</v>
      </c>
      <c r="L89" s="35">
        <v>63.895000000000003</v>
      </c>
      <c r="M89" s="5">
        <v>3.2522095081112239</v>
      </c>
      <c r="N89" s="5">
        <v>1.8915086947443192</v>
      </c>
      <c r="O89" s="5">
        <v>-2.597095253872677</v>
      </c>
      <c r="P89" s="6">
        <v>1</v>
      </c>
      <c r="Q89" s="6">
        <v>1</v>
      </c>
      <c r="R89" s="33">
        <v>1</v>
      </c>
      <c r="S89" s="5"/>
      <c r="T89" s="6"/>
      <c r="U89">
        <v>-2.6484049032363781E-2</v>
      </c>
      <c r="V89" s="9">
        <v>-6.198899999999985E-2</v>
      </c>
      <c r="W89" s="38">
        <v>0</v>
      </c>
      <c r="X89" s="38">
        <v>92.4</v>
      </c>
      <c r="Y89" s="38">
        <v>97.1</v>
      </c>
      <c r="Z89" s="38">
        <v>90.6</v>
      </c>
      <c r="AA89" s="9">
        <v>-0.6</v>
      </c>
      <c r="AB89" s="9">
        <v>1</v>
      </c>
      <c r="AC89" s="38">
        <v>-0.19785579738834214</v>
      </c>
      <c r="AD89" s="38">
        <v>0</v>
      </c>
      <c r="AE89" s="9">
        <v>11.311856984387681</v>
      </c>
      <c r="AF89" s="38">
        <v>1</v>
      </c>
      <c r="AG89" s="9"/>
      <c r="AH89" s="9"/>
      <c r="AI89" s="42">
        <v>1.1586987612168429</v>
      </c>
      <c r="AJ89" s="42">
        <v>1.4870448654718109</v>
      </c>
      <c r="AK89" s="9"/>
      <c r="AM89" s="9"/>
      <c r="AN89" s="9"/>
      <c r="AO89" s="9"/>
      <c r="AP89" s="9"/>
      <c r="AQ89" s="9"/>
      <c r="AR89" s="9"/>
      <c r="AS89" s="9"/>
      <c r="AU89" s="9"/>
      <c r="AV89" s="9"/>
      <c r="AW89" s="15"/>
      <c r="AX89" s="9"/>
      <c r="BC89" s="9"/>
      <c r="BD89" s="9"/>
      <c r="BE89" s="9"/>
      <c r="BF89" s="9"/>
      <c r="BG89" s="9"/>
      <c r="BL89" s="9"/>
      <c r="BM89" s="9"/>
      <c r="BN89" s="9"/>
      <c r="BO89" s="20"/>
      <c r="BP89" s="20"/>
      <c r="BQ89" s="9"/>
      <c r="BR89" s="9"/>
      <c r="BT89" s="9"/>
      <c r="BX89" s="2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</row>
    <row r="90" spans="1:87">
      <c r="A90" s="13">
        <v>25020</v>
      </c>
      <c r="B90" s="12">
        <v>4594.9679999999998</v>
      </c>
      <c r="C90" s="9">
        <v>0</v>
      </c>
      <c r="D90" s="24">
        <v>4738</v>
      </c>
      <c r="E90" s="12">
        <v>20.725999999999999</v>
      </c>
      <c r="F90" s="12">
        <v>28.748000000000001</v>
      </c>
      <c r="G90" s="12">
        <v>63.802</v>
      </c>
      <c r="H90" s="34">
        <v>57.3</v>
      </c>
      <c r="I90" s="34">
        <v>951</v>
      </c>
      <c r="J90" s="35">
        <v>20.501000000000001</v>
      </c>
      <c r="K90" s="35">
        <v>45.058</v>
      </c>
      <c r="L90" s="35">
        <v>64.075000000000003</v>
      </c>
      <c r="M90" s="5">
        <v>1.1646736784112781</v>
      </c>
      <c r="N90" s="5">
        <v>-0.43985210466634617</v>
      </c>
      <c r="O90" s="5">
        <v>-1.5945478238309232</v>
      </c>
      <c r="P90" s="6">
        <v>1</v>
      </c>
      <c r="Q90" s="6">
        <v>1</v>
      </c>
      <c r="R90" s="33">
        <v>1</v>
      </c>
      <c r="S90" s="5"/>
      <c r="T90" s="6"/>
      <c r="U90">
        <v>0</v>
      </c>
      <c r="V90" s="9">
        <v>-6.1640000000000028E-2</v>
      </c>
      <c r="W90" s="38">
        <v>0</v>
      </c>
      <c r="X90" s="38">
        <v>92.4</v>
      </c>
      <c r="Y90" s="38">
        <v>97.5</v>
      </c>
      <c r="Z90" s="38">
        <v>90.3</v>
      </c>
      <c r="AA90" s="9">
        <v>2</v>
      </c>
      <c r="AB90" s="9">
        <v>1</v>
      </c>
      <c r="AC90" s="38">
        <v>0.35535564616753335</v>
      </c>
      <c r="AD90" s="38">
        <v>0</v>
      </c>
      <c r="AE90" s="9">
        <v>6.1778084062450445</v>
      </c>
      <c r="AF90" s="38">
        <v>1</v>
      </c>
      <c r="AG90" s="9"/>
      <c r="AH90" s="9"/>
      <c r="AI90" s="42">
        <v>1.2425978013483181</v>
      </c>
      <c r="AJ90" s="42">
        <v>1.4755014415182219</v>
      </c>
      <c r="AK90" s="9"/>
      <c r="AM90" s="9"/>
      <c r="AN90" s="9"/>
      <c r="AO90" s="9"/>
      <c r="AP90" s="9"/>
      <c r="AQ90" s="9"/>
      <c r="AR90" s="9"/>
      <c r="AS90" s="9"/>
      <c r="AU90" s="9"/>
      <c r="AV90" s="9"/>
      <c r="AW90" s="15"/>
      <c r="AX90" s="9"/>
      <c r="BC90" s="9"/>
      <c r="BD90" s="9"/>
      <c r="BE90" s="9"/>
      <c r="BF90" s="9"/>
      <c r="BG90" s="9"/>
      <c r="BL90" s="9"/>
      <c r="BM90" s="9"/>
      <c r="BN90" s="9"/>
      <c r="BO90" s="20"/>
      <c r="BP90" s="20"/>
      <c r="BQ90" s="9"/>
      <c r="BR90" s="9"/>
      <c r="BT90" s="9"/>
      <c r="BX90" s="2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</row>
    <row r="91" spans="1:87">
      <c r="A91" s="13">
        <v>25112</v>
      </c>
      <c r="B91" s="12">
        <v>4615.3879999999999</v>
      </c>
      <c r="C91" s="9">
        <v>0</v>
      </c>
      <c r="D91" s="24">
        <v>4814</v>
      </c>
      <c r="E91" s="12">
        <v>21.018999999999998</v>
      </c>
      <c r="F91" s="12">
        <v>28.875</v>
      </c>
      <c r="G91" s="12">
        <v>64.195999999999998</v>
      </c>
      <c r="H91" s="34">
        <v>57.4</v>
      </c>
      <c r="I91" s="34">
        <v>970.4</v>
      </c>
      <c r="J91" s="35">
        <v>20.728999999999999</v>
      </c>
      <c r="K91" s="35">
        <v>44.978999999999999</v>
      </c>
      <c r="L91" s="35">
        <v>64.551000000000002</v>
      </c>
      <c r="M91" s="5">
        <v>-0.93829149179078453</v>
      </c>
      <c r="N91" s="5">
        <v>-2.4001737315684899</v>
      </c>
      <c r="O91" s="5">
        <v>-1.3868508786738318</v>
      </c>
      <c r="P91" s="6">
        <v>1</v>
      </c>
      <c r="Q91" s="6">
        <v>1</v>
      </c>
      <c r="R91" s="33">
        <v>1</v>
      </c>
      <c r="S91" s="5"/>
      <c r="T91" s="6"/>
      <c r="U91">
        <v>0</v>
      </c>
      <c r="V91" s="9">
        <v>1.5514999999999946E-2</v>
      </c>
      <c r="W91" s="38">
        <v>0</v>
      </c>
      <c r="X91" s="38">
        <v>91.7</v>
      </c>
      <c r="Y91" s="38">
        <v>92.6</v>
      </c>
      <c r="Z91" s="38">
        <v>92.3</v>
      </c>
      <c r="AA91" s="9">
        <v>0.4</v>
      </c>
      <c r="AB91" s="9">
        <v>1</v>
      </c>
      <c r="AC91" s="38">
        <v>5.6079961751850815E-2</v>
      </c>
      <c r="AD91" s="38">
        <v>0</v>
      </c>
      <c r="AE91" s="9">
        <v>5.85186498693262</v>
      </c>
      <c r="AF91" s="38">
        <v>1</v>
      </c>
      <c r="AG91" s="9"/>
      <c r="AH91" s="9"/>
      <c r="AI91" s="42">
        <v>0.685901708466366</v>
      </c>
      <c r="AJ91" s="42">
        <v>0.6795511588730544</v>
      </c>
      <c r="AK91" s="9"/>
      <c r="AM91" s="9"/>
      <c r="AN91" s="9"/>
      <c r="AO91" s="9"/>
      <c r="AP91" s="9"/>
      <c r="AQ91" s="9"/>
      <c r="AR91" s="9"/>
      <c r="AS91" s="9"/>
      <c r="AU91" s="9"/>
      <c r="AV91" s="9"/>
      <c r="AW91" s="15"/>
      <c r="AX91" s="9"/>
      <c r="BC91" s="9"/>
      <c r="BD91" s="9"/>
      <c r="BE91" s="9"/>
      <c r="BF91" s="9"/>
      <c r="BG91" s="9"/>
      <c r="BL91" s="9"/>
      <c r="BM91" s="9"/>
      <c r="BN91" s="9"/>
      <c r="BO91" s="20"/>
      <c r="BP91" s="20"/>
      <c r="BQ91" s="9"/>
      <c r="BR91" s="9"/>
      <c r="BT91" s="9"/>
      <c r="BX91" s="2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</row>
    <row r="92" spans="1:87">
      <c r="A92" s="13">
        <v>25204</v>
      </c>
      <c r="B92" s="12">
        <v>4687.098</v>
      </c>
      <c r="C92" s="9">
        <v>0</v>
      </c>
      <c r="D92" s="24">
        <v>4929</v>
      </c>
      <c r="E92" s="12">
        <v>21.236999999999998</v>
      </c>
      <c r="F92" s="12">
        <v>29.367999999999999</v>
      </c>
      <c r="G92" s="12">
        <v>64.796999999999997</v>
      </c>
      <c r="H92" s="34">
        <v>55.8</v>
      </c>
      <c r="I92" s="34">
        <v>989.8</v>
      </c>
      <c r="J92" s="35">
        <v>20.933</v>
      </c>
      <c r="K92" s="35">
        <v>45.323</v>
      </c>
      <c r="L92" s="35">
        <v>64.64</v>
      </c>
      <c r="M92" s="5">
        <v>-0.46345424953388664</v>
      </c>
      <c r="N92" s="5">
        <v>-1.3112052623413519</v>
      </c>
      <c r="O92" s="5">
        <v>-0.33041938987562963</v>
      </c>
      <c r="P92" s="6">
        <v>1</v>
      </c>
      <c r="Q92" s="6">
        <v>1</v>
      </c>
      <c r="R92" s="33">
        <v>1</v>
      </c>
      <c r="S92" s="5"/>
      <c r="T92" s="6"/>
      <c r="U92">
        <v>0</v>
      </c>
      <c r="V92" s="9">
        <v>-8.1458999999999948E-2</v>
      </c>
      <c r="W92" s="38">
        <v>0</v>
      </c>
      <c r="X92" s="38">
        <v>98.2</v>
      </c>
      <c r="Y92" s="38">
        <v>99</v>
      </c>
      <c r="Z92" s="38">
        <v>98.7</v>
      </c>
      <c r="AA92" s="9">
        <v>0.1</v>
      </c>
      <c r="AB92" s="9">
        <v>1</v>
      </c>
      <c r="AC92" s="38">
        <v>3.4894166898314705E-2</v>
      </c>
      <c r="AD92" s="38">
        <v>0</v>
      </c>
      <c r="AE92" s="9">
        <v>4.8068778706153559</v>
      </c>
      <c r="AF92" s="38">
        <v>1</v>
      </c>
      <c r="AG92" s="9"/>
      <c r="AH92" s="9"/>
      <c r="AI92" s="42">
        <v>0.82202505059719178</v>
      </c>
      <c r="AJ92" s="42">
        <v>1.015035359891661</v>
      </c>
      <c r="AK92" s="9"/>
      <c r="AM92" s="9"/>
      <c r="AN92" s="9"/>
      <c r="AO92" s="9"/>
      <c r="AP92" s="9"/>
      <c r="AQ92" s="9"/>
      <c r="AR92" s="9"/>
      <c r="AS92" s="9"/>
      <c r="AU92" s="9"/>
      <c r="AV92" s="9"/>
      <c r="AW92" s="15"/>
      <c r="AX92" s="9"/>
      <c r="BC92" s="9"/>
      <c r="BD92" s="9"/>
      <c r="BE92" s="9"/>
      <c r="BF92" s="9"/>
      <c r="BG92" s="9"/>
      <c r="BL92" s="9"/>
      <c r="BM92" s="9"/>
      <c r="BN92" s="9"/>
      <c r="BO92" s="20"/>
      <c r="BP92" s="20"/>
      <c r="BQ92" s="9"/>
      <c r="BR92" s="19"/>
      <c r="BT92" s="9"/>
      <c r="BX92" s="2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</row>
    <row r="93" spans="1:87">
      <c r="A93" s="13">
        <v>25294</v>
      </c>
      <c r="B93" s="12">
        <v>4702.1239999999998</v>
      </c>
      <c r="C93" s="9">
        <v>0</v>
      </c>
      <c r="D93" s="24">
        <v>4996</v>
      </c>
      <c r="E93" s="12">
        <v>21.509</v>
      </c>
      <c r="F93" s="12">
        <v>29.402000000000001</v>
      </c>
      <c r="G93" s="12">
        <v>65.397999999999996</v>
      </c>
      <c r="H93" s="34">
        <v>53.5</v>
      </c>
      <c r="I93" s="34">
        <v>1009.4</v>
      </c>
      <c r="J93" s="35">
        <v>21.201000000000001</v>
      </c>
      <c r="K93" s="35">
        <v>44.959000000000003</v>
      </c>
      <c r="L93" s="35">
        <v>64.665000000000006</v>
      </c>
      <c r="M93" s="5">
        <v>-0.9909772724146011</v>
      </c>
      <c r="N93" s="5">
        <v>-0.80214621722335178</v>
      </c>
      <c r="O93" s="5">
        <v>-0.43956471378490464</v>
      </c>
      <c r="P93" s="6">
        <v>1</v>
      </c>
      <c r="Q93" s="6">
        <v>1</v>
      </c>
      <c r="R93" s="33">
        <v>1</v>
      </c>
      <c r="S93" s="5"/>
      <c r="T93" s="6"/>
      <c r="U93">
        <v>0</v>
      </c>
      <c r="V93" s="9">
        <v>-0.14719899999999997</v>
      </c>
      <c r="W93" s="38">
        <v>0</v>
      </c>
      <c r="X93" s="38">
        <v>91.5</v>
      </c>
      <c r="Y93" s="38">
        <v>92.9</v>
      </c>
      <c r="Z93" s="38">
        <v>91.8</v>
      </c>
      <c r="AA93" s="9">
        <v>0.9</v>
      </c>
      <c r="AB93" s="9">
        <v>1</v>
      </c>
      <c r="AC93" s="38">
        <v>8.9707779668726007E-2</v>
      </c>
      <c r="AD93" s="38">
        <v>0</v>
      </c>
      <c r="AE93" s="9">
        <v>1.773017114707276</v>
      </c>
      <c r="AF93" s="38">
        <v>1</v>
      </c>
      <c r="AG93" s="9"/>
      <c r="AH93" s="9"/>
      <c r="AI93" s="42">
        <v>1.1740646854888921</v>
      </c>
      <c r="AJ93" s="42">
        <v>1.9996449064419159</v>
      </c>
      <c r="AK93" s="9"/>
      <c r="AM93" s="9"/>
      <c r="AN93" s="9"/>
      <c r="AO93" s="9"/>
      <c r="AP93" s="9"/>
      <c r="AQ93" s="9"/>
      <c r="AR93" s="9"/>
      <c r="AS93" s="9"/>
      <c r="AU93" s="9"/>
      <c r="AV93" s="9"/>
      <c r="AW93" s="15"/>
      <c r="AX93" s="9"/>
      <c r="BC93" s="9"/>
      <c r="BD93" s="9"/>
      <c r="BE93" s="9"/>
      <c r="BF93" s="9"/>
      <c r="BG93" s="9"/>
      <c r="BL93" s="9"/>
      <c r="BM93" s="9"/>
      <c r="BN93" s="9"/>
      <c r="BO93" s="20"/>
      <c r="BP93" s="20"/>
      <c r="BQ93" s="9"/>
      <c r="BR93" s="9"/>
      <c r="BT93" s="9"/>
      <c r="BX93" s="2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</row>
    <row r="94" spans="1:87">
      <c r="A94" s="13">
        <v>25385</v>
      </c>
      <c r="B94" s="12">
        <v>4731.549</v>
      </c>
      <c r="C94" s="9">
        <v>0</v>
      </c>
      <c r="D94" s="24">
        <v>5084</v>
      </c>
      <c r="E94" s="12">
        <v>21.811</v>
      </c>
      <c r="F94" s="12">
        <v>29.561</v>
      </c>
      <c r="G94" s="12">
        <v>65.710999999999999</v>
      </c>
      <c r="H94" s="34">
        <v>51.5</v>
      </c>
      <c r="I94" s="34">
        <v>1031.2</v>
      </c>
      <c r="J94" s="35">
        <v>21.460999999999999</v>
      </c>
      <c r="K94" s="35">
        <v>44.985999999999997</v>
      </c>
      <c r="L94" s="35">
        <v>64.930999999999997</v>
      </c>
      <c r="M94" s="5">
        <v>-0.17022725010851208</v>
      </c>
      <c r="N94" s="5">
        <v>1.3109095715866264</v>
      </c>
      <c r="O94" s="5">
        <v>-0.87805512081285297</v>
      </c>
      <c r="P94" s="6">
        <v>1</v>
      </c>
      <c r="Q94" s="6">
        <v>1</v>
      </c>
      <c r="R94" s="33">
        <v>1</v>
      </c>
      <c r="S94" s="5"/>
      <c r="T94" s="6"/>
      <c r="U94">
        <v>0</v>
      </c>
      <c r="V94" s="9">
        <v>-0.11741800000000002</v>
      </c>
      <c r="W94" s="38">
        <v>0</v>
      </c>
      <c r="X94" s="38">
        <v>86.4</v>
      </c>
      <c r="Y94" s="38">
        <v>86.9</v>
      </c>
      <c r="Z94" s="38">
        <v>87.3</v>
      </c>
      <c r="AA94" s="9">
        <v>0.7</v>
      </c>
      <c r="AB94" s="9">
        <v>1</v>
      </c>
      <c r="AC94" s="38">
        <v>5.5565093988027892E-2</v>
      </c>
      <c r="AD94" s="38">
        <v>0</v>
      </c>
      <c r="AE94" s="9">
        <v>4.5138801905422632</v>
      </c>
      <c r="AF94" s="38">
        <v>1</v>
      </c>
      <c r="AG94" s="9"/>
      <c r="AH94" s="9"/>
      <c r="AI94" s="42">
        <v>1.3282172222601909</v>
      </c>
      <c r="AJ94" s="42">
        <v>1.466786975840213</v>
      </c>
      <c r="AK94" s="9"/>
      <c r="AM94" s="9"/>
      <c r="AN94" s="9"/>
      <c r="AO94" s="9"/>
      <c r="AP94" s="9"/>
      <c r="AQ94" s="9"/>
      <c r="AR94" s="9"/>
      <c r="AS94" s="9"/>
      <c r="AU94" s="9"/>
      <c r="AV94" s="9"/>
      <c r="AW94" s="15"/>
      <c r="AX94" s="9"/>
      <c r="BC94" s="9"/>
      <c r="BD94" s="9"/>
      <c r="BE94" s="9"/>
      <c r="BF94" s="9"/>
      <c r="BG94" s="9"/>
      <c r="BL94" s="9"/>
      <c r="BM94" s="9"/>
      <c r="BN94" s="9"/>
      <c r="BO94" s="20"/>
      <c r="BP94" s="20"/>
      <c r="BQ94" s="9"/>
      <c r="BR94" s="9"/>
      <c r="BT94" s="9"/>
      <c r="BX94" s="2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</row>
    <row r="95" spans="1:87">
      <c r="A95" s="13">
        <v>25477</v>
      </c>
      <c r="B95" s="12">
        <v>4710.9539999999997</v>
      </c>
      <c r="C95" s="9">
        <v>1</v>
      </c>
      <c r="D95" s="24">
        <v>5112</v>
      </c>
      <c r="E95" s="12">
        <v>22.091999999999999</v>
      </c>
      <c r="F95" s="12">
        <v>29.347000000000001</v>
      </c>
      <c r="G95" s="12">
        <v>65.510999999999996</v>
      </c>
      <c r="H95" s="34">
        <v>46.6</v>
      </c>
      <c r="I95" s="34">
        <v>1042.5999999999999</v>
      </c>
      <c r="J95" s="35">
        <v>21.71</v>
      </c>
      <c r="K95" s="35">
        <v>44.796999999999997</v>
      </c>
      <c r="L95" s="35">
        <v>65.188000000000002</v>
      </c>
      <c r="M95" s="5">
        <v>-2.7691441345832919</v>
      </c>
      <c r="N95" s="5">
        <v>-0.15030012017467742</v>
      </c>
      <c r="O95" s="5">
        <v>-0.75540287527902239</v>
      </c>
      <c r="P95" s="6">
        <v>1</v>
      </c>
      <c r="Q95" s="6">
        <v>1</v>
      </c>
      <c r="R95" s="33">
        <v>1</v>
      </c>
      <c r="S95" s="5"/>
      <c r="T95" s="6"/>
      <c r="U95">
        <v>0</v>
      </c>
      <c r="V95" s="9">
        <v>-5.4178999999999977E-2</v>
      </c>
      <c r="W95" s="38">
        <v>0</v>
      </c>
      <c r="X95" s="38">
        <v>79.7</v>
      </c>
      <c r="Y95" s="38">
        <v>80.599999999999994</v>
      </c>
      <c r="Z95" s="38">
        <v>80.3</v>
      </c>
      <c r="AA95" s="9">
        <v>0.6</v>
      </c>
      <c r="AB95" s="9">
        <v>1</v>
      </c>
      <c r="AC95" s="38">
        <v>5.9425562540134536E-2</v>
      </c>
      <c r="AD95" s="38">
        <v>0</v>
      </c>
      <c r="AE95" s="9">
        <v>6.3408958311534036</v>
      </c>
      <c r="AF95" s="38">
        <v>1</v>
      </c>
      <c r="AG95" s="9"/>
      <c r="AH95" s="9"/>
      <c r="AI95" s="42">
        <v>1.410759451595907E-2</v>
      </c>
      <c r="AJ95" s="42">
        <v>0.84795541848503986</v>
      </c>
      <c r="AK95" s="9"/>
      <c r="AM95" s="9"/>
      <c r="AN95" s="9"/>
      <c r="AO95" s="9"/>
      <c r="AP95" s="9"/>
      <c r="AQ95" s="9"/>
      <c r="AR95" s="9"/>
      <c r="AS95" s="9"/>
      <c r="AU95" s="9"/>
      <c r="AV95" s="9"/>
      <c r="AW95" s="15"/>
      <c r="AX95" s="9"/>
      <c r="BC95" s="9"/>
      <c r="BD95" s="9"/>
      <c r="BE95" s="9"/>
      <c r="BF95" s="9"/>
      <c r="BG95" s="9"/>
      <c r="BL95" s="9"/>
      <c r="BM95" s="9"/>
      <c r="BN95" s="9"/>
      <c r="BO95" s="20"/>
      <c r="BP95" s="20"/>
      <c r="BQ95" s="9"/>
      <c r="BR95" s="9"/>
      <c r="BT95" s="9"/>
      <c r="BX95" s="2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</row>
    <row r="96" spans="1:87">
      <c r="A96" s="13">
        <v>25569</v>
      </c>
      <c r="B96" s="12">
        <v>4702.8090000000002</v>
      </c>
      <c r="C96" s="9">
        <v>1</v>
      </c>
      <c r="D96" s="24">
        <v>5162</v>
      </c>
      <c r="E96" s="12">
        <v>22.402000000000001</v>
      </c>
      <c r="F96" s="12">
        <v>29.311</v>
      </c>
      <c r="G96" s="12">
        <v>65.253</v>
      </c>
      <c r="H96" s="34">
        <v>43</v>
      </c>
      <c r="I96" s="34">
        <v>1049.8</v>
      </c>
      <c r="J96" s="35">
        <v>21.960999999999999</v>
      </c>
      <c r="K96" s="35">
        <v>44.918999999999997</v>
      </c>
      <c r="L96" s="35">
        <v>65.319999999999993</v>
      </c>
      <c r="M96" s="5">
        <v>-2.205842187926776</v>
      </c>
      <c r="N96" s="5">
        <v>0.96211562206985324</v>
      </c>
      <c r="O96" s="5">
        <v>-0.85024394594537189</v>
      </c>
      <c r="P96" s="6">
        <v>1</v>
      </c>
      <c r="Q96" s="6">
        <v>1</v>
      </c>
      <c r="R96" s="33">
        <v>0</v>
      </c>
      <c r="S96" s="5"/>
      <c r="T96" s="26">
        <v>-19</v>
      </c>
      <c r="U96">
        <v>-4.97781747146951E-3</v>
      </c>
      <c r="V96" s="9">
        <v>-0.12852900000000006</v>
      </c>
      <c r="W96" s="38">
        <v>0</v>
      </c>
      <c r="X96" s="38">
        <v>78.099999999999994</v>
      </c>
      <c r="Y96" s="38">
        <v>82.3</v>
      </c>
      <c r="Z96" s="38">
        <v>76.5</v>
      </c>
      <c r="AA96" s="9">
        <v>-0.8</v>
      </c>
      <c r="AB96" s="9">
        <v>1</v>
      </c>
      <c r="AC96" s="38">
        <v>7.0549434858041327E-2</v>
      </c>
      <c r="AD96" s="38">
        <v>0</v>
      </c>
      <c r="AE96" s="9">
        <v>2.4110519123364149</v>
      </c>
      <c r="AF96" s="38">
        <v>1</v>
      </c>
      <c r="AG96" s="9"/>
      <c r="AH96" s="9"/>
      <c r="AI96" s="42">
        <v>0.8791972404228322</v>
      </c>
      <c r="AJ96" s="42">
        <v>-0.45927879017992962</v>
      </c>
      <c r="AK96" s="9"/>
      <c r="AM96" s="9"/>
      <c r="AN96" s="9"/>
      <c r="AO96" s="9"/>
      <c r="AP96" s="9"/>
      <c r="AQ96" s="9"/>
      <c r="AR96" s="9"/>
      <c r="AS96" s="9"/>
      <c r="AU96" s="9"/>
      <c r="AV96" s="9"/>
      <c r="AW96" s="15"/>
      <c r="AX96" s="9"/>
      <c r="BC96" s="9"/>
      <c r="BD96" s="9"/>
      <c r="BE96" s="9"/>
      <c r="BF96" s="9"/>
      <c r="BG96" s="9"/>
      <c r="BL96" s="9"/>
      <c r="BM96" s="9"/>
      <c r="BN96" s="9"/>
      <c r="BO96" s="20"/>
      <c r="BP96" s="20"/>
      <c r="BQ96" s="9"/>
      <c r="BR96" s="9"/>
      <c r="BT96" s="9"/>
      <c r="BW96" s="26"/>
      <c r="BX96" s="2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</row>
    <row r="97" spans="1:87">
      <c r="A97" s="13">
        <v>25659</v>
      </c>
      <c r="B97" s="12">
        <v>4711.143</v>
      </c>
      <c r="C97" s="9">
        <v>1</v>
      </c>
      <c r="D97" s="24">
        <v>5227</v>
      </c>
      <c r="E97" s="12">
        <v>22.713999999999999</v>
      </c>
      <c r="F97" s="12">
        <v>29.364999999999998</v>
      </c>
      <c r="G97" s="12">
        <v>64.393000000000001</v>
      </c>
      <c r="H97" s="34">
        <v>46.4</v>
      </c>
      <c r="I97" s="34">
        <v>1064.4000000000001</v>
      </c>
      <c r="J97" s="35">
        <v>22.204999999999998</v>
      </c>
      <c r="K97" s="35">
        <v>45.603000000000002</v>
      </c>
      <c r="L97" s="35">
        <v>65.444000000000003</v>
      </c>
      <c r="M97" s="5">
        <v>1.5525201060973612</v>
      </c>
      <c r="N97" s="5">
        <v>4.3050383218275723</v>
      </c>
      <c r="O97" s="5">
        <v>-1.8548567546016697</v>
      </c>
      <c r="P97" s="6">
        <v>1</v>
      </c>
      <c r="Q97" s="6">
        <v>1</v>
      </c>
      <c r="R97" s="33">
        <v>0</v>
      </c>
      <c r="S97" s="5"/>
      <c r="T97" s="26">
        <v>5</v>
      </c>
      <c r="U97">
        <v>-2.9496174805776418E-3</v>
      </c>
      <c r="V97" s="9">
        <v>-0.15224499999999996</v>
      </c>
      <c r="W97" s="38">
        <v>0</v>
      </c>
      <c r="X97" s="38">
        <v>75.400000000000006</v>
      </c>
      <c r="Y97" s="38">
        <v>82.6</v>
      </c>
      <c r="Z97" s="38">
        <v>71.900000000000006</v>
      </c>
      <c r="AA97" s="9">
        <v>2.2999999999999998</v>
      </c>
      <c r="AB97" s="9">
        <v>1</v>
      </c>
      <c r="AC97" s="38">
        <v>5.9799026921252052E-2</v>
      </c>
      <c r="AD97" s="38">
        <v>0</v>
      </c>
      <c r="AE97" s="9">
        <v>0.40064167624627167</v>
      </c>
      <c r="AF97" s="38">
        <v>1</v>
      </c>
      <c r="AG97" s="9">
        <v>3.9758153169659067</v>
      </c>
      <c r="AH97" s="41">
        <v>1</v>
      </c>
      <c r="AI97" s="42">
        <v>1.176546848656584</v>
      </c>
      <c r="AJ97" s="42">
        <v>1.499720698876376</v>
      </c>
      <c r="AK97" s="9"/>
      <c r="AM97" s="9"/>
      <c r="AN97" s="9"/>
      <c r="AO97" s="9"/>
      <c r="AP97" s="9"/>
      <c r="AQ97" s="9"/>
      <c r="AR97" s="9"/>
      <c r="AS97" s="9"/>
      <c r="AU97" s="9"/>
      <c r="AV97" s="9"/>
      <c r="AW97" s="15"/>
      <c r="AX97" s="9"/>
      <c r="BC97" s="9"/>
      <c r="BD97" s="9"/>
      <c r="BE97" s="9"/>
      <c r="BF97" s="9"/>
      <c r="BG97" s="9"/>
      <c r="BL97" s="9"/>
      <c r="BM97" s="19"/>
      <c r="BN97" s="9"/>
      <c r="BO97" s="20"/>
      <c r="BP97" s="20"/>
      <c r="BQ97" s="9"/>
      <c r="BR97" s="9"/>
      <c r="BT97" s="9"/>
      <c r="BW97" s="26"/>
      <c r="BX97" s="2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</row>
    <row r="98" spans="1:87">
      <c r="A98" s="13">
        <v>25750</v>
      </c>
      <c r="B98" s="12">
        <v>4752.8050000000003</v>
      </c>
      <c r="C98" s="9">
        <v>1</v>
      </c>
      <c r="D98" s="24">
        <v>5299</v>
      </c>
      <c r="E98" s="12">
        <v>22.901</v>
      </c>
      <c r="F98" s="12">
        <v>29.664000000000001</v>
      </c>
      <c r="G98" s="12">
        <v>64.066000000000003</v>
      </c>
      <c r="H98" s="34">
        <v>45.4</v>
      </c>
      <c r="I98" s="34">
        <v>1082</v>
      </c>
      <c r="J98" s="35">
        <v>22.420999999999999</v>
      </c>
      <c r="K98" s="35">
        <v>46.302</v>
      </c>
      <c r="L98" s="35">
        <v>65.837000000000003</v>
      </c>
      <c r="M98" s="5">
        <v>4.5235990188711446</v>
      </c>
      <c r="N98" s="5">
        <v>6.1337430408424662</v>
      </c>
      <c r="O98" s="5">
        <v>-2.0215719794143991</v>
      </c>
      <c r="P98" s="6">
        <v>1</v>
      </c>
      <c r="Q98" s="6">
        <v>1</v>
      </c>
      <c r="R98" s="33">
        <v>0</v>
      </c>
      <c r="S98" s="5"/>
      <c r="T98" s="26">
        <v>0</v>
      </c>
      <c r="U98">
        <v>0</v>
      </c>
      <c r="V98" s="9">
        <v>0.13645099999999999</v>
      </c>
      <c r="W98" s="38">
        <v>0</v>
      </c>
      <c r="X98" s="38">
        <v>77.599999999999994</v>
      </c>
      <c r="Y98" s="38">
        <v>81.3</v>
      </c>
      <c r="Z98" s="38">
        <v>76.400000000000006</v>
      </c>
      <c r="AA98" s="9">
        <v>0.9</v>
      </c>
      <c r="AB98" s="9">
        <v>1</v>
      </c>
      <c r="AC98" s="38">
        <v>4.6092770041536113E-2</v>
      </c>
      <c r="AD98" s="38">
        <v>0</v>
      </c>
      <c r="AE98" s="9">
        <v>3.6102264055496436</v>
      </c>
      <c r="AF98" s="38">
        <v>1</v>
      </c>
      <c r="AG98" s="9">
        <v>1.8678414096916356</v>
      </c>
      <c r="AH98" s="41">
        <v>1</v>
      </c>
      <c r="AI98" s="42">
        <v>1.3036081063744169</v>
      </c>
      <c r="AJ98" s="42">
        <v>1.5567895100518541</v>
      </c>
      <c r="AK98" s="9"/>
      <c r="AM98" s="9"/>
      <c r="AN98" s="9"/>
      <c r="AO98" s="9"/>
      <c r="AP98" s="9"/>
      <c r="AQ98" s="9"/>
      <c r="AR98" s="9"/>
      <c r="AS98" s="9"/>
      <c r="AU98" s="9"/>
      <c r="AV98" s="9"/>
      <c r="AW98" s="15"/>
      <c r="AX98" s="9"/>
      <c r="BC98" s="9"/>
      <c r="BD98" s="9"/>
      <c r="BE98" s="9"/>
      <c r="BF98" s="9"/>
      <c r="BG98" s="9"/>
      <c r="BL98" s="9"/>
      <c r="BM98" s="9"/>
      <c r="BN98" s="9"/>
      <c r="BO98" s="20"/>
      <c r="BP98" s="20"/>
      <c r="BQ98" s="9"/>
      <c r="BR98" s="9"/>
      <c r="BT98" s="9"/>
      <c r="BW98" s="26"/>
      <c r="BX98" s="2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</row>
    <row r="99" spans="1:87">
      <c r="A99" s="13">
        <v>25842</v>
      </c>
      <c r="B99" s="12">
        <v>4703.9120000000003</v>
      </c>
      <c r="C99" s="9">
        <v>1</v>
      </c>
      <c r="D99" s="24">
        <v>5295</v>
      </c>
      <c r="E99" s="12">
        <v>23.202999999999999</v>
      </c>
      <c r="F99" s="12">
        <v>29.186</v>
      </c>
      <c r="G99" s="12">
        <v>63.576999999999998</v>
      </c>
      <c r="H99" s="34">
        <v>42.7</v>
      </c>
      <c r="I99" s="34">
        <v>1086</v>
      </c>
      <c r="J99" s="35">
        <v>22.712</v>
      </c>
      <c r="K99" s="35">
        <v>45.905999999999999</v>
      </c>
      <c r="L99" s="35">
        <v>65.539000000000001</v>
      </c>
      <c r="M99" s="5">
        <v>-4.1652042634594357</v>
      </c>
      <c r="N99" s="5">
        <v>-4.1799820281610351</v>
      </c>
      <c r="O99" s="5">
        <v>-1.7075721981678511</v>
      </c>
      <c r="P99" s="6">
        <v>1</v>
      </c>
      <c r="Q99" s="6">
        <v>1</v>
      </c>
      <c r="R99" s="33">
        <v>0</v>
      </c>
      <c r="S99" s="5"/>
      <c r="T99" s="26">
        <v>27</v>
      </c>
      <c r="U99">
        <v>0</v>
      </c>
      <c r="V99" s="9">
        <v>-5.8553000000000022E-2</v>
      </c>
      <c r="W99" s="38">
        <v>0</v>
      </c>
      <c r="X99" s="38">
        <v>72.400000000000006</v>
      </c>
      <c r="Y99" s="38">
        <v>74.7</v>
      </c>
      <c r="Z99" s="38">
        <v>72</v>
      </c>
      <c r="AA99" s="9">
        <v>0.7</v>
      </c>
      <c r="AB99" s="38">
        <v>0</v>
      </c>
      <c r="AC99" s="38">
        <v>5.2340429664420318E-2</v>
      </c>
      <c r="AD99" s="38">
        <v>0</v>
      </c>
      <c r="AE99" s="9">
        <v>1.0073342854493683</v>
      </c>
      <c r="AF99" s="38">
        <v>1</v>
      </c>
      <c r="AG99" s="9">
        <v>0.8476042207230563</v>
      </c>
      <c r="AH99" s="41">
        <v>1</v>
      </c>
      <c r="AI99" s="42">
        <v>0.51723070644393354</v>
      </c>
      <c r="AJ99" s="42">
        <v>0.45206230846952261</v>
      </c>
      <c r="AK99" s="9"/>
      <c r="AM99" s="9"/>
      <c r="AN99" s="9"/>
      <c r="AO99" s="9"/>
      <c r="AP99" s="9"/>
      <c r="AQ99" s="9"/>
      <c r="AR99" s="9"/>
      <c r="AS99" s="9"/>
      <c r="AU99" s="9"/>
      <c r="AV99" s="9"/>
      <c r="AW99" s="15"/>
      <c r="AX99" s="9"/>
      <c r="BC99" s="9"/>
      <c r="BD99" s="9"/>
      <c r="BE99" s="9"/>
      <c r="BF99" s="9"/>
      <c r="BG99" s="9"/>
      <c r="BL99" s="9"/>
      <c r="BM99" s="9"/>
      <c r="BN99" s="9"/>
      <c r="BO99" s="20"/>
      <c r="BP99" s="20"/>
      <c r="BQ99" s="9"/>
      <c r="BR99" s="9"/>
      <c r="BT99" s="9"/>
      <c r="BW99" s="26"/>
      <c r="BX99" s="2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</row>
    <row r="100" spans="1:87" ht="15">
      <c r="A100" s="13">
        <v>25934</v>
      </c>
      <c r="B100" s="12">
        <v>4829.88</v>
      </c>
      <c r="C100" s="9">
        <v>0</v>
      </c>
      <c r="D100" s="24">
        <v>5503</v>
      </c>
      <c r="E100" s="12">
        <v>23.558</v>
      </c>
      <c r="F100" s="12">
        <v>30.175000000000001</v>
      </c>
      <c r="G100" s="12">
        <v>63.877000000000002</v>
      </c>
      <c r="H100" s="34">
        <v>51.3</v>
      </c>
      <c r="I100" s="34">
        <v>1124.5</v>
      </c>
      <c r="J100" s="35">
        <v>22.927</v>
      </c>
      <c r="K100" s="35">
        <v>47.238999999999997</v>
      </c>
      <c r="L100" s="35">
        <v>66.331000000000003</v>
      </c>
      <c r="M100" s="5">
        <v>9.2083034360620992</v>
      </c>
      <c r="N100" s="5">
        <v>7.6224997231013418</v>
      </c>
      <c r="O100" s="5">
        <v>-2.1283266386372821</v>
      </c>
      <c r="P100" s="6">
        <v>1</v>
      </c>
      <c r="Q100" s="6">
        <v>1</v>
      </c>
      <c r="R100" s="33">
        <v>0</v>
      </c>
      <c r="S100" s="5">
        <v>0</v>
      </c>
      <c r="T100" s="26">
        <v>63</v>
      </c>
      <c r="U100">
        <v>0</v>
      </c>
      <c r="V100" s="9">
        <v>0.20481199999999999</v>
      </c>
      <c r="W100" s="38">
        <v>-1.8209961E-2</v>
      </c>
      <c r="X100" s="38">
        <v>78.099999999999994</v>
      </c>
      <c r="Y100" s="38">
        <v>82.4</v>
      </c>
      <c r="Z100" s="38">
        <v>76.599999999999994</v>
      </c>
      <c r="AA100" s="9">
        <v>-0.9</v>
      </c>
      <c r="AB100" s="38">
        <v>0</v>
      </c>
      <c r="AC100" s="38">
        <v>6.613752362727543E-2</v>
      </c>
      <c r="AD100" s="38">
        <v>0</v>
      </c>
      <c r="AE100" s="9">
        <v>-2.2754351231805359</v>
      </c>
      <c r="AF100" s="38">
        <v>1</v>
      </c>
      <c r="AG100" s="9">
        <v>-1.9210977701543612</v>
      </c>
      <c r="AH100" s="41">
        <v>1</v>
      </c>
      <c r="AI100" s="42">
        <v>1.514875187175214</v>
      </c>
      <c r="AJ100" s="42">
        <v>1.062420523070162</v>
      </c>
      <c r="AK100" s="9"/>
      <c r="AM100" s="9"/>
      <c r="AN100" s="9"/>
      <c r="AO100" s="9"/>
      <c r="AP100" s="9"/>
      <c r="AQ100" s="9"/>
      <c r="AR100" s="9"/>
      <c r="AS100" s="9"/>
      <c r="AU100" s="9"/>
      <c r="AV100" s="9"/>
      <c r="AW100" s="15"/>
      <c r="AX100" s="9"/>
      <c r="BC100" s="9"/>
      <c r="BD100" s="9"/>
      <c r="BE100" s="9"/>
      <c r="BF100" s="9"/>
      <c r="BG100" s="9"/>
      <c r="BL100" s="9"/>
      <c r="BM100" s="9"/>
      <c r="BN100" s="9"/>
      <c r="BO100" s="20"/>
      <c r="BP100" s="20"/>
      <c r="BQ100" s="9"/>
      <c r="BR100" s="9"/>
      <c r="BS100" s="21"/>
      <c r="BT100" s="9"/>
      <c r="BW100" s="26"/>
      <c r="BX100" s="2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</row>
    <row r="101" spans="1:87" ht="15">
      <c r="A101" s="13">
        <v>26024</v>
      </c>
      <c r="B101" s="12">
        <v>4857.3739999999998</v>
      </c>
      <c r="C101" s="9">
        <v>0</v>
      </c>
      <c r="D101" s="24">
        <v>5591</v>
      </c>
      <c r="E101" s="12">
        <v>23.867999999999999</v>
      </c>
      <c r="F101" s="12">
        <v>30.373999999999999</v>
      </c>
      <c r="G101" s="12">
        <v>64.082999999999998</v>
      </c>
      <c r="H101" s="34">
        <v>52.2</v>
      </c>
      <c r="I101" s="34">
        <v>1146.8</v>
      </c>
      <c r="J101" s="35">
        <v>23.187999999999999</v>
      </c>
      <c r="K101" s="35">
        <v>47.398000000000003</v>
      </c>
      <c r="L101" s="35">
        <v>66.694999999999993</v>
      </c>
      <c r="M101" s="5">
        <v>0.37821724629697889</v>
      </c>
      <c r="N101" s="5">
        <v>-2.1623308647934185</v>
      </c>
      <c r="O101" s="5">
        <v>-2.6337665502265248</v>
      </c>
      <c r="P101" s="6">
        <v>1</v>
      </c>
      <c r="Q101" s="6">
        <v>1</v>
      </c>
      <c r="R101" s="33">
        <v>0</v>
      </c>
      <c r="S101" s="5">
        <v>0</v>
      </c>
      <c r="T101" s="26">
        <v>41</v>
      </c>
      <c r="U101">
        <v>0</v>
      </c>
      <c r="V101" s="9">
        <v>-1.9596999999999976E-2</v>
      </c>
      <c r="W101" s="38">
        <v>0</v>
      </c>
      <c r="X101" s="38">
        <v>80.2</v>
      </c>
      <c r="Y101" s="38">
        <v>87.7</v>
      </c>
      <c r="Z101" s="38">
        <v>76.599999999999994</v>
      </c>
      <c r="AA101" s="9">
        <v>1.2</v>
      </c>
      <c r="AB101" s="38">
        <v>0</v>
      </c>
      <c r="AC101" s="38">
        <v>3.7800070470087821E-2</v>
      </c>
      <c r="AD101" s="38">
        <v>0</v>
      </c>
      <c r="AE101" s="9">
        <v>12.756762219320606</v>
      </c>
      <c r="AF101" s="38">
        <v>1</v>
      </c>
      <c r="AG101" s="9">
        <v>2.0986358866736765</v>
      </c>
      <c r="AH101" s="41">
        <v>1</v>
      </c>
      <c r="AI101" s="42">
        <v>1.80952541521162</v>
      </c>
      <c r="AJ101" s="42">
        <v>1.251900178756947</v>
      </c>
      <c r="AK101" s="9"/>
      <c r="AM101" s="9"/>
      <c r="AN101" s="9"/>
      <c r="AO101" s="9"/>
      <c r="AP101" s="9"/>
      <c r="AQ101" s="9"/>
      <c r="AR101" s="9"/>
      <c r="AS101" s="9"/>
      <c r="AU101" s="9"/>
      <c r="AV101" s="9"/>
      <c r="AW101" s="15"/>
      <c r="AX101" s="9"/>
      <c r="BC101" s="9"/>
      <c r="BD101" s="9"/>
      <c r="BE101" s="9"/>
      <c r="BF101" s="9"/>
      <c r="BG101" s="9"/>
      <c r="BL101" s="9"/>
      <c r="BM101" s="9"/>
      <c r="BN101" s="9"/>
      <c r="BO101" s="20"/>
      <c r="BP101" s="20"/>
      <c r="BQ101" s="9"/>
      <c r="BR101" s="9"/>
      <c r="BS101" s="21"/>
      <c r="BT101" s="9"/>
      <c r="BW101" s="26"/>
      <c r="BX101" s="2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</row>
    <row r="102" spans="1:87" ht="15">
      <c r="A102" s="13">
        <v>26115</v>
      </c>
      <c r="B102" s="12">
        <v>4895.2579999999998</v>
      </c>
      <c r="C102" s="9">
        <v>0</v>
      </c>
      <c r="D102" s="24">
        <v>5675</v>
      </c>
      <c r="E102" s="12">
        <v>24.111000000000001</v>
      </c>
      <c r="F102" s="12">
        <v>30.645</v>
      </c>
      <c r="G102" s="12">
        <v>64.082999999999998</v>
      </c>
      <c r="H102" s="34">
        <v>55.8</v>
      </c>
      <c r="I102" s="34">
        <v>1168.5</v>
      </c>
      <c r="J102" s="35">
        <v>23.416</v>
      </c>
      <c r="K102" s="35">
        <v>47.82</v>
      </c>
      <c r="L102" s="35">
        <v>66.947000000000003</v>
      </c>
      <c r="M102" s="5">
        <v>3.4515828055433229</v>
      </c>
      <c r="N102" s="5">
        <v>0.64055411139706564</v>
      </c>
      <c r="O102" s="5">
        <v>-2.4190733216735021</v>
      </c>
      <c r="P102" s="6">
        <v>1</v>
      </c>
      <c r="Q102" s="6">
        <v>1</v>
      </c>
      <c r="R102" s="33">
        <v>0</v>
      </c>
      <c r="S102" s="5">
        <v>0</v>
      </c>
      <c r="T102" s="26">
        <v>25</v>
      </c>
      <c r="U102">
        <v>0</v>
      </c>
      <c r="V102" s="9">
        <v>-0.11803400000000003</v>
      </c>
      <c r="W102" s="38">
        <v>0</v>
      </c>
      <c r="X102" s="38">
        <v>82.1</v>
      </c>
      <c r="Y102" s="38">
        <v>88.5</v>
      </c>
      <c r="Z102" s="38">
        <v>79.099999999999994</v>
      </c>
      <c r="AA102" s="9">
        <v>1.5</v>
      </c>
      <c r="AB102" s="38">
        <v>0</v>
      </c>
      <c r="AC102" s="38">
        <v>6.1344598214596147E-2</v>
      </c>
      <c r="AD102" s="38">
        <v>0</v>
      </c>
      <c r="AE102" s="9">
        <v>11.586602360477304</v>
      </c>
      <c r="AF102" s="38">
        <v>1</v>
      </c>
      <c r="AG102" s="9">
        <v>1.7300445357999195</v>
      </c>
      <c r="AH102" s="41">
        <v>1</v>
      </c>
      <c r="AI102" s="42">
        <v>1.2569363085404579</v>
      </c>
      <c r="AJ102" s="42">
        <v>1.3988415250088491</v>
      </c>
      <c r="AK102" s="9"/>
      <c r="AM102" s="9"/>
      <c r="AN102" s="9"/>
      <c r="AO102" s="9"/>
      <c r="AP102" s="9"/>
      <c r="AQ102" s="9"/>
      <c r="AR102" s="9"/>
      <c r="AS102" s="9"/>
      <c r="AU102" s="9"/>
      <c r="AV102" s="9"/>
      <c r="AW102" s="15"/>
      <c r="AX102" s="9"/>
      <c r="BC102" s="9"/>
      <c r="BD102" s="9"/>
      <c r="BE102" s="9"/>
      <c r="BF102" s="9"/>
      <c r="BG102" s="9"/>
      <c r="BL102" s="9"/>
      <c r="BM102" s="9"/>
      <c r="BN102" s="9"/>
      <c r="BO102" s="20"/>
      <c r="BP102" s="20"/>
      <c r="BQ102" s="9"/>
      <c r="BR102" s="9"/>
      <c r="BS102" s="21"/>
      <c r="BT102" s="9"/>
      <c r="BW102" s="26"/>
      <c r="BX102" s="2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</row>
    <row r="103" spans="1:87" ht="15">
      <c r="A103" s="13">
        <v>26207</v>
      </c>
      <c r="B103" s="12">
        <v>4909.5290000000005</v>
      </c>
      <c r="C103" s="9">
        <v>0</v>
      </c>
      <c r="D103" s="24">
        <v>5721</v>
      </c>
      <c r="E103" s="12">
        <v>24.312000000000001</v>
      </c>
      <c r="F103" s="12">
        <v>30.725999999999999</v>
      </c>
      <c r="G103" s="12">
        <v>64.77</v>
      </c>
      <c r="H103" s="34">
        <v>59.2</v>
      </c>
      <c r="I103" s="34">
        <v>1193.2</v>
      </c>
      <c r="J103" s="35">
        <v>23.562000000000001</v>
      </c>
      <c r="K103" s="35">
        <v>47.439</v>
      </c>
      <c r="L103" s="35">
        <v>66.912999999999997</v>
      </c>
      <c r="M103" s="5">
        <v>-0.25602039884257877</v>
      </c>
      <c r="N103" s="5">
        <v>-2.746972420619314</v>
      </c>
      <c r="O103" s="5">
        <v>-2.4808103161197628</v>
      </c>
      <c r="P103" s="6">
        <v>1</v>
      </c>
      <c r="Q103" s="6">
        <v>1</v>
      </c>
      <c r="R103" s="33">
        <v>0</v>
      </c>
      <c r="S103" s="5">
        <v>0</v>
      </c>
      <c r="T103" s="26">
        <v>32</v>
      </c>
      <c r="U103">
        <v>0</v>
      </c>
      <c r="V103" s="9">
        <v>2.841100000000002E-2</v>
      </c>
      <c r="W103" s="38">
        <v>0</v>
      </c>
      <c r="X103" s="38">
        <v>82</v>
      </c>
      <c r="Y103" s="38">
        <v>90.3</v>
      </c>
      <c r="Z103" s="38">
        <v>77.900000000000006</v>
      </c>
      <c r="AA103" s="9">
        <v>0.1</v>
      </c>
      <c r="AB103" s="38">
        <v>0</v>
      </c>
      <c r="AC103" s="38">
        <v>4.1296161651103391E-2</v>
      </c>
      <c r="AD103" s="38">
        <v>0</v>
      </c>
      <c r="AE103" s="9">
        <v>4.8934311213363557</v>
      </c>
      <c r="AF103" s="38">
        <v>1</v>
      </c>
      <c r="AG103" s="9">
        <v>-8.4189257450745458E-2</v>
      </c>
      <c r="AH103" s="41">
        <v>1</v>
      </c>
      <c r="AI103" s="42">
        <v>1.7590915936984659</v>
      </c>
      <c r="AJ103" s="42">
        <v>1.579402079192195</v>
      </c>
      <c r="AK103" s="9"/>
      <c r="AM103" s="9"/>
      <c r="AN103" s="9"/>
      <c r="AO103" s="9"/>
      <c r="AP103" s="9"/>
      <c r="AQ103" s="9"/>
      <c r="AR103" s="9"/>
      <c r="AS103" s="9"/>
      <c r="AU103" s="9"/>
      <c r="AV103" s="9"/>
      <c r="AW103" s="15"/>
      <c r="AX103" s="9"/>
      <c r="BC103" s="9"/>
      <c r="BD103" s="9"/>
      <c r="BE103" s="9"/>
      <c r="BF103" s="9"/>
      <c r="BG103" s="9"/>
      <c r="BL103" s="9"/>
      <c r="BM103" s="9"/>
      <c r="BN103" s="9"/>
      <c r="BO103" s="20"/>
      <c r="BP103" s="20"/>
      <c r="BQ103" s="9"/>
      <c r="BR103" s="9"/>
      <c r="BS103" s="21"/>
      <c r="BT103" s="9"/>
      <c r="BW103" s="26"/>
      <c r="BX103" s="2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</row>
    <row r="104" spans="1:87" ht="15">
      <c r="A104" s="13">
        <v>26299</v>
      </c>
      <c r="B104" s="12">
        <v>4997.0150000000003</v>
      </c>
      <c r="C104" s="9">
        <v>0</v>
      </c>
      <c r="D104" s="24">
        <v>5899</v>
      </c>
      <c r="E104" s="12">
        <v>24.690999999999999</v>
      </c>
      <c r="F104" s="12">
        <v>31.532</v>
      </c>
      <c r="G104" s="12">
        <v>65.558999999999997</v>
      </c>
      <c r="H104" s="34">
        <v>62.3</v>
      </c>
      <c r="I104" s="34">
        <v>1229.2</v>
      </c>
      <c r="J104" s="35">
        <v>23.811</v>
      </c>
      <c r="K104" s="35">
        <v>48.097000000000001</v>
      </c>
      <c r="L104" s="35">
        <v>68.150000000000006</v>
      </c>
      <c r="M104" s="5">
        <v>3.3753505126126071</v>
      </c>
      <c r="N104" s="5">
        <v>1.3935341222143571</v>
      </c>
      <c r="O104" s="5">
        <v>-1.9195541889503391</v>
      </c>
      <c r="P104" s="6">
        <v>1</v>
      </c>
      <c r="Q104" s="6">
        <v>1</v>
      </c>
      <c r="R104" s="33">
        <v>0</v>
      </c>
      <c r="S104" s="5">
        <v>0</v>
      </c>
      <c r="T104" s="26">
        <v>50</v>
      </c>
      <c r="U104">
        <v>0</v>
      </c>
      <c r="V104" s="9">
        <v>0.11687000000000003</v>
      </c>
      <c r="W104" s="38">
        <v>-0.75592138399999997</v>
      </c>
      <c r="X104" s="38">
        <v>92.8</v>
      </c>
      <c r="Y104" s="38">
        <v>96.4</v>
      </c>
      <c r="Z104" s="38">
        <v>91.6</v>
      </c>
      <c r="AA104" s="9">
        <v>0.2</v>
      </c>
      <c r="AB104" s="38">
        <v>0</v>
      </c>
      <c r="AC104" s="38">
        <v>3.7086131399095335E-2</v>
      </c>
      <c r="AD104" s="38">
        <v>0</v>
      </c>
      <c r="AE104" s="9">
        <v>-1.8567479078362981</v>
      </c>
      <c r="AF104" s="38">
        <v>1</v>
      </c>
      <c r="AG104" s="9">
        <v>0.1011122345803841</v>
      </c>
      <c r="AH104" s="41">
        <v>1</v>
      </c>
      <c r="AI104" s="42">
        <v>2.3525545375710122</v>
      </c>
      <c r="AJ104" s="42">
        <v>1.97697951613319</v>
      </c>
      <c r="AK104" s="9"/>
      <c r="AM104" s="9"/>
      <c r="AN104" s="9"/>
      <c r="AO104" s="9"/>
      <c r="AP104" s="9"/>
      <c r="AQ104" s="9"/>
      <c r="AR104" s="9"/>
      <c r="AS104" s="9"/>
      <c r="AU104" s="9"/>
      <c r="AV104" s="9"/>
      <c r="AW104" s="15"/>
      <c r="AX104" s="9"/>
      <c r="BC104" s="9"/>
      <c r="BD104" s="9"/>
      <c r="BE104" s="9"/>
      <c r="BF104" s="9"/>
      <c r="BG104" s="9"/>
      <c r="BL104" s="9"/>
      <c r="BM104" s="9"/>
      <c r="BN104" s="9"/>
      <c r="BO104" s="20"/>
      <c r="BP104" s="20"/>
      <c r="BQ104" s="9"/>
      <c r="BR104" s="9"/>
      <c r="BS104" s="21"/>
      <c r="BT104" s="9"/>
      <c r="BW104" s="26"/>
      <c r="BX104" s="2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</row>
    <row r="105" spans="1:87" ht="15">
      <c r="A105" s="13">
        <v>26390</v>
      </c>
      <c r="B105" s="12">
        <v>5112.7219999999998</v>
      </c>
      <c r="C105" s="9">
        <v>0</v>
      </c>
      <c r="D105" s="24">
        <v>6059</v>
      </c>
      <c r="E105" s="12">
        <v>24.841999999999999</v>
      </c>
      <c r="F105" s="12">
        <v>32.406999999999996</v>
      </c>
      <c r="G105" s="12">
        <v>66.028000000000006</v>
      </c>
      <c r="H105" s="34">
        <v>63.7</v>
      </c>
      <c r="I105" s="34">
        <v>1252.5999999999999</v>
      </c>
      <c r="J105" s="35">
        <v>23.949000000000002</v>
      </c>
      <c r="K105" s="35">
        <v>49.08</v>
      </c>
      <c r="L105" s="35">
        <v>68.512</v>
      </c>
      <c r="M105" s="5">
        <v>6.2973155019011884</v>
      </c>
      <c r="N105" s="5">
        <v>4.6117227497134383</v>
      </c>
      <c r="O105" s="5">
        <v>-2.7697688174290542</v>
      </c>
      <c r="P105" s="6">
        <v>1</v>
      </c>
      <c r="Q105" s="6">
        <v>1</v>
      </c>
      <c r="R105" s="33">
        <v>0</v>
      </c>
      <c r="S105" s="5">
        <v>0</v>
      </c>
      <c r="T105" s="26">
        <v>29</v>
      </c>
      <c r="U105">
        <v>0</v>
      </c>
      <c r="V105" s="9">
        <v>-0.11435500000000004</v>
      </c>
      <c r="W105" s="38">
        <v>0</v>
      </c>
      <c r="X105" s="38">
        <v>88.6</v>
      </c>
      <c r="Y105" s="38">
        <v>99.3</v>
      </c>
      <c r="Z105" s="38">
        <v>82.9</v>
      </c>
      <c r="AA105" s="9">
        <v>2.6</v>
      </c>
      <c r="AB105" s="38">
        <v>0</v>
      </c>
      <c r="AC105" s="38">
        <v>4.6306450857356074E-2</v>
      </c>
      <c r="AD105" s="38">
        <v>0</v>
      </c>
      <c r="AE105" s="9">
        <v>12.058600622386461</v>
      </c>
      <c r="AF105" s="38">
        <v>1</v>
      </c>
      <c r="AG105" s="9">
        <v>1.6329966329966368</v>
      </c>
      <c r="AH105" s="41">
        <v>1</v>
      </c>
      <c r="AI105" s="42">
        <v>1.118629993366862</v>
      </c>
      <c r="AJ105" s="42">
        <v>1.128197297111647</v>
      </c>
      <c r="AK105" s="9"/>
      <c r="AM105" s="9"/>
      <c r="AN105" s="9"/>
      <c r="AO105" s="9"/>
      <c r="AP105" s="9"/>
      <c r="AQ105" s="9"/>
      <c r="AR105" s="9"/>
      <c r="AS105" s="9"/>
      <c r="AU105" s="9"/>
      <c r="AV105" s="9"/>
      <c r="AW105" s="15"/>
      <c r="AX105" s="9"/>
      <c r="BC105" s="9"/>
      <c r="BD105" s="9"/>
      <c r="BE105" s="9"/>
      <c r="BF105" s="9"/>
      <c r="BG105" s="9"/>
      <c r="BL105" s="9"/>
      <c r="BM105" s="9"/>
      <c r="BN105" s="9"/>
      <c r="BO105" s="20"/>
      <c r="BP105" s="20"/>
      <c r="BQ105" s="9"/>
      <c r="BR105" s="9"/>
      <c r="BS105" s="21"/>
      <c r="BT105" s="9"/>
      <c r="BW105" s="26"/>
      <c r="BX105" s="2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</row>
    <row r="106" spans="1:87" ht="15">
      <c r="A106" s="13">
        <v>26481</v>
      </c>
      <c r="B106" s="12">
        <v>5159.8370000000004</v>
      </c>
      <c r="C106" s="9">
        <v>0</v>
      </c>
      <c r="D106" s="24">
        <v>6156</v>
      </c>
      <c r="E106" s="12">
        <v>25.074999999999999</v>
      </c>
      <c r="F106" s="12">
        <v>32.765999999999998</v>
      </c>
      <c r="G106" s="12">
        <v>66.400000000000006</v>
      </c>
      <c r="H106" s="34">
        <v>66.3</v>
      </c>
      <c r="I106" s="34">
        <v>1284.9000000000001</v>
      </c>
      <c r="J106" s="35">
        <v>24.16</v>
      </c>
      <c r="K106" s="35">
        <v>49.347000000000001</v>
      </c>
      <c r="L106" s="35">
        <v>68.875</v>
      </c>
      <c r="M106" s="5">
        <v>2.52314913145173</v>
      </c>
      <c r="N106" s="5">
        <v>0.73314036793853199</v>
      </c>
      <c r="O106" s="5">
        <v>-1.900159286737052</v>
      </c>
      <c r="P106" s="6">
        <v>1</v>
      </c>
      <c r="Q106" s="6">
        <v>1</v>
      </c>
      <c r="R106" s="33">
        <v>0</v>
      </c>
      <c r="S106" s="5">
        <v>0</v>
      </c>
      <c r="T106" s="26">
        <v>19</v>
      </c>
      <c r="U106">
        <v>0</v>
      </c>
      <c r="V106" s="9">
        <v>-4.6908999999999978E-2</v>
      </c>
      <c r="W106" s="38">
        <v>0</v>
      </c>
      <c r="X106" s="38">
        <v>95.2</v>
      </c>
      <c r="Y106" s="38">
        <v>101.9</v>
      </c>
      <c r="Z106" s="38">
        <v>92</v>
      </c>
      <c r="AA106" s="9">
        <v>0.3</v>
      </c>
      <c r="AB106" s="38">
        <v>0</v>
      </c>
      <c r="AC106" s="38">
        <v>5.437926492137235E-2</v>
      </c>
      <c r="AD106" s="38">
        <v>0</v>
      </c>
      <c r="AE106" s="9">
        <v>9.9646571850908749E-2</v>
      </c>
      <c r="AF106" s="38">
        <v>1</v>
      </c>
      <c r="AG106" s="9">
        <v>2.3355971509027711</v>
      </c>
      <c r="AH106" s="41">
        <v>1</v>
      </c>
      <c r="AI106" s="42">
        <v>0.32265278195246633</v>
      </c>
      <c r="AJ106" s="42">
        <v>0.89193584323473829</v>
      </c>
      <c r="AK106" s="9"/>
      <c r="AM106" s="9"/>
      <c r="AN106" s="9"/>
      <c r="AO106" s="9"/>
      <c r="AP106" s="9"/>
      <c r="AQ106" s="9"/>
      <c r="AR106" s="9"/>
      <c r="AS106" s="9"/>
      <c r="AU106" s="9"/>
      <c r="AV106" s="9"/>
      <c r="AW106" s="15"/>
      <c r="AX106" s="9"/>
      <c r="BC106" s="9"/>
      <c r="BD106" s="9"/>
      <c r="BE106" s="9"/>
      <c r="BF106" s="9"/>
      <c r="BG106" s="9"/>
      <c r="BL106" s="9"/>
      <c r="BM106" s="9"/>
      <c r="BN106" s="9"/>
      <c r="BO106" s="20"/>
      <c r="BP106" s="20"/>
      <c r="BQ106" s="9"/>
      <c r="BR106" s="9"/>
      <c r="BS106" s="21"/>
      <c r="BT106" s="9"/>
      <c r="BW106" s="26"/>
      <c r="BX106" s="2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</row>
    <row r="107" spans="1:87" ht="15">
      <c r="A107" s="13">
        <v>26573</v>
      </c>
      <c r="B107" s="12">
        <v>5245.5230000000001</v>
      </c>
      <c r="C107" s="9">
        <v>0</v>
      </c>
      <c r="D107" s="24">
        <v>6321</v>
      </c>
      <c r="E107" s="12">
        <v>25.393999999999998</v>
      </c>
      <c r="F107" s="12">
        <v>33.381999999999998</v>
      </c>
      <c r="G107" s="12">
        <v>67.093999999999994</v>
      </c>
      <c r="H107" s="34">
        <v>69.099999999999994</v>
      </c>
      <c r="I107" s="34">
        <v>1334.6</v>
      </c>
      <c r="J107" s="35">
        <v>24.358000000000001</v>
      </c>
      <c r="K107" s="35">
        <v>49.753999999999998</v>
      </c>
      <c r="L107" s="35">
        <v>69.453000000000003</v>
      </c>
      <c r="M107" s="5">
        <v>6.5311978928822807</v>
      </c>
      <c r="N107" s="5">
        <v>4.4060092121192378</v>
      </c>
      <c r="O107" s="5">
        <v>-3.3451308594179996</v>
      </c>
      <c r="P107" s="6">
        <v>1</v>
      </c>
      <c r="Q107" s="6">
        <v>1</v>
      </c>
      <c r="R107" s="33">
        <v>0</v>
      </c>
      <c r="S107" s="5">
        <v>0</v>
      </c>
      <c r="T107" s="26">
        <v>21</v>
      </c>
      <c r="U107">
        <v>0</v>
      </c>
      <c r="V107" s="9">
        <v>-5.5988000000000038E-2</v>
      </c>
      <c r="W107" s="38">
        <v>0</v>
      </c>
      <c r="X107" s="38">
        <v>90.7</v>
      </c>
      <c r="Y107" s="38">
        <v>95.9</v>
      </c>
      <c r="Z107" s="38">
        <v>88.5</v>
      </c>
      <c r="AA107" s="9">
        <v>1.8</v>
      </c>
      <c r="AB107" s="38">
        <v>0</v>
      </c>
      <c r="AC107" s="38">
        <v>6.2797357743484161E-2</v>
      </c>
      <c r="AD107" s="38">
        <v>0</v>
      </c>
      <c r="AE107" s="9">
        <v>10.519392501305646</v>
      </c>
      <c r="AF107" s="38">
        <v>1</v>
      </c>
      <c r="AG107" s="9">
        <v>1.5539009388151612</v>
      </c>
      <c r="AH107" s="41">
        <v>1</v>
      </c>
      <c r="AI107" s="42">
        <v>1.1472629072303331</v>
      </c>
      <c r="AJ107" s="42">
        <v>1.1462954345954861</v>
      </c>
      <c r="AK107" s="9"/>
      <c r="AM107" s="9"/>
      <c r="AN107" s="9"/>
      <c r="AO107" s="9"/>
      <c r="AP107" s="9"/>
      <c r="AQ107" s="9"/>
      <c r="AR107" s="9"/>
      <c r="AS107" s="9"/>
      <c r="AU107" s="9"/>
      <c r="AV107" s="9"/>
      <c r="AW107" s="15"/>
      <c r="AX107" s="9"/>
      <c r="BC107" s="9"/>
      <c r="BD107" s="9"/>
      <c r="BE107" s="9"/>
      <c r="BF107" s="9"/>
      <c r="BG107" s="9"/>
      <c r="BL107" s="9"/>
      <c r="BM107" s="9"/>
      <c r="BN107" s="9"/>
      <c r="BO107" s="20"/>
      <c r="BP107" s="20"/>
      <c r="BQ107" s="9"/>
      <c r="BR107" s="19"/>
      <c r="BS107" s="21"/>
      <c r="BT107" s="9"/>
      <c r="BW107" s="26"/>
      <c r="BX107" s="2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</row>
    <row r="108" spans="1:87" ht="15">
      <c r="A108" s="13">
        <v>26665</v>
      </c>
      <c r="B108" s="12">
        <v>5374.665</v>
      </c>
      <c r="C108" s="9">
        <v>0</v>
      </c>
      <c r="D108" s="24">
        <v>6538</v>
      </c>
      <c r="E108" s="12">
        <v>25.689</v>
      </c>
      <c r="F108" s="12">
        <v>34.643999999999998</v>
      </c>
      <c r="G108" s="12">
        <v>68.106999999999999</v>
      </c>
      <c r="H108" s="34">
        <v>71.3</v>
      </c>
      <c r="I108" s="34">
        <v>1374.3</v>
      </c>
      <c r="J108" s="35">
        <v>24.652000000000001</v>
      </c>
      <c r="K108" s="35">
        <v>50.866999999999997</v>
      </c>
      <c r="L108" s="35">
        <v>70.17</v>
      </c>
      <c r="M108" s="5">
        <v>6.0127770990487752</v>
      </c>
      <c r="N108" s="5">
        <v>3.7871799665880488</v>
      </c>
      <c r="O108" s="5">
        <v>-2.5915714166191304</v>
      </c>
      <c r="P108" s="6">
        <v>1</v>
      </c>
      <c r="Q108" s="6">
        <v>1</v>
      </c>
      <c r="R108" s="33">
        <v>0</v>
      </c>
      <c r="S108" s="5">
        <v>0</v>
      </c>
      <c r="T108" s="26">
        <v>11</v>
      </c>
      <c r="U108">
        <v>0</v>
      </c>
      <c r="V108" s="9">
        <v>3.3415000000000028E-2</v>
      </c>
      <c r="W108" s="38">
        <v>0</v>
      </c>
      <c r="X108" s="38">
        <v>81.900000000000006</v>
      </c>
      <c r="Y108" s="38">
        <v>95.8</v>
      </c>
      <c r="Z108" s="38">
        <v>74</v>
      </c>
      <c r="AA108" s="9">
        <v>5.3</v>
      </c>
      <c r="AB108" s="38">
        <v>0</v>
      </c>
      <c r="AC108" s="38">
        <v>8.2001383575784903E-2</v>
      </c>
      <c r="AD108" s="38">
        <v>0</v>
      </c>
      <c r="AE108" s="9">
        <v>11.385724859225309</v>
      </c>
      <c r="AF108" s="38">
        <v>1</v>
      </c>
      <c r="AG108" s="9">
        <v>1.3866751673573532</v>
      </c>
      <c r="AH108" s="41">
        <v>1</v>
      </c>
      <c r="AI108" s="42">
        <v>-0.44678184304215141</v>
      </c>
      <c r="AJ108" s="42">
        <v>0.37846662217415011</v>
      </c>
      <c r="AK108" s="9"/>
      <c r="AM108" s="9"/>
      <c r="AN108" s="9"/>
      <c r="AO108" s="9"/>
      <c r="AP108" s="9"/>
      <c r="AQ108" s="9"/>
      <c r="AR108" s="9"/>
      <c r="AS108" s="9"/>
      <c r="AU108" s="9"/>
      <c r="AV108" s="9"/>
      <c r="AW108" s="15"/>
      <c r="AX108" s="9"/>
      <c r="BC108" s="9"/>
      <c r="BD108" s="9"/>
      <c r="BE108" s="9"/>
      <c r="BF108" s="9"/>
      <c r="BG108" s="9"/>
      <c r="BL108" s="9"/>
      <c r="BM108" s="9"/>
      <c r="BN108" s="9"/>
      <c r="BO108" s="20"/>
      <c r="BP108" s="20"/>
      <c r="BQ108" s="9"/>
      <c r="BR108" s="9"/>
      <c r="BS108" s="21"/>
      <c r="BT108" s="9"/>
      <c r="BW108" s="26"/>
      <c r="BX108" s="2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</row>
    <row r="109" spans="1:87" ht="15">
      <c r="A109" s="13">
        <v>26755</v>
      </c>
      <c r="B109" s="12">
        <v>5435.6040000000003</v>
      </c>
      <c r="C109" s="9">
        <v>0</v>
      </c>
      <c r="D109" s="24">
        <v>6697</v>
      </c>
      <c r="E109" s="12">
        <v>26.08</v>
      </c>
      <c r="F109" s="12">
        <v>35.039000000000001</v>
      </c>
      <c r="G109" s="12">
        <v>68.819000000000003</v>
      </c>
      <c r="H109" s="34">
        <v>67</v>
      </c>
      <c r="I109" s="34">
        <v>1402.9</v>
      </c>
      <c r="J109" s="35">
        <v>25.126000000000001</v>
      </c>
      <c r="K109" s="35">
        <v>50.914000000000001</v>
      </c>
      <c r="L109" s="35">
        <v>69.691999999999993</v>
      </c>
      <c r="M109" s="5">
        <v>-0.61379507672557299</v>
      </c>
      <c r="N109" s="5">
        <v>-2.2816010854586275</v>
      </c>
      <c r="O109" s="5">
        <v>-2.6107461826656482</v>
      </c>
      <c r="P109" s="6">
        <v>1</v>
      </c>
      <c r="Q109" s="6">
        <v>1</v>
      </c>
      <c r="R109" s="33">
        <v>0</v>
      </c>
      <c r="S109" s="5">
        <v>0</v>
      </c>
      <c r="T109" s="26">
        <v>9</v>
      </c>
      <c r="U109">
        <v>0</v>
      </c>
      <c r="V109" s="9">
        <v>-0.20794799999999999</v>
      </c>
      <c r="W109" s="38">
        <v>0</v>
      </c>
      <c r="X109" s="38">
        <v>77</v>
      </c>
      <c r="Y109" s="38">
        <v>92.7</v>
      </c>
      <c r="Z109" s="38">
        <v>68</v>
      </c>
      <c r="AA109" s="9">
        <v>0.5</v>
      </c>
      <c r="AB109" s="38">
        <v>0</v>
      </c>
      <c r="AC109" s="38">
        <v>6.7266105490627837E-2</v>
      </c>
      <c r="AD109" s="38">
        <v>0</v>
      </c>
      <c r="AE109" s="9">
        <v>4.1760159126301266</v>
      </c>
      <c r="AF109" s="38">
        <v>1</v>
      </c>
      <c r="AG109" s="9">
        <v>0.73887753497876929</v>
      </c>
      <c r="AH109" s="41">
        <v>1</v>
      </c>
      <c r="AI109" s="42">
        <v>0.48834465295797952</v>
      </c>
      <c r="AJ109" s="42">
        <v>0.61559128198139457</v>
      </c>
      <c r="AK109" s="9"/>
      <c r="AM109" s="9"/>
      <c r="AN109" s="9"/>
      <c r="AO109" s="9"/>
      <c r="AP109" s="9"/>
      <c r="AQ109" s="9"/>
      <c r="AR109" s="9"/>
      <c r="AS109" s="9"/>
      <c r="AU109" s="9"/>
      <c r="AV109" s="9"/>
      <c r="AW109" s="15"/>
      <c r="AX109" s="9"/>
      <c r="BC109" s="9"/>
      <c r="BD109" s="9"/>
      <c r="BE109" s="9"/>
      <c r="BF109" s="9"/>
      <c r="BG109" s="9"/>
      <c r="BL109" s="9"/>
      <c r="BM109" s="9"/>
      <c r="BN109" s="9"/>
      <c r="BO109" s="20"/>
      <c r="BP109" s="20"/>
      <c r="BQ109" s="9"/>
      <c r="BR109" s="9"/>
      <c r="BS109" s="21"/>
      <c r="BT109" s="9"/>
      <c r="BW109" s="26"/>
      <c r="BX109" s="2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</row>
    <row r="110" spans="1:87" ht="15">
      <c r="A110" s="13">
        <v>26846</v>
      </c>
      <c r="B110" s="12">
        <v>5406.0649999999996</v>
      </c>
      <c r="C110" s="9">
        <v>0</v>
      </c>
      <c r="D110" s="24">
        <v>6771</v>
      </c>
      <c r="E110" s="12">
        <v>26.577999999999999</v>
      </c>
      <c r="F110" s="12">
        <v>34.933999999999997</v>
      </c>
      <c r="G110" s="12">
        <v>69.284000000000006</v>
      </c>
      <c r="H110" s="34">
        <v>68</v>
      </c>
      <c r="I110" s="34">
        <v>1434.4</v>
      </c>
      <c r="J110" s="35">
        <v>25.582999999999998</v>
      </c>
      <c r="K110" s="35">
        <v>50.420999999999999</v>
      </c>
      <c r="L110" s="35">
        <v>69.528000000000006</v>
      </c>
      <c r="M110" s="5">
        <v>-4.5590833246040763</v>
      </c>
      <c r="N110" s="5">
        <v>-4.6150515058891211</v>
      </c>
      <c r="O110" s="5">
        <v>-1.9076208714012259</v>
      </c>
      <c r="P110" s="6">
        <v>1</v>
      </c>
      <c r="Q110" s="6">
        <v>1</v>
      </c>
      <c r="R110" s="33">
        <v>0</v>
      </c>
      <c r="S110" s="5">
        <v>0</v>
      </c>
      <c r="T110" s="26">
        <v>-7</v>
      </c>
      <c r="U110">
        <v>-3.6457095068099352E-3</v>
      </c>
      <c r="V110" s="9">
        <v>4.4680999999999998E-2</v>
      </c>
      <c r="W110" s="38">
        <v>0</v>
      </c>
      <c r="X110" s="38">
        <v>72</v>
      </c>
      <c r="Y110" s="38">
        <v>86.6</v>
      </c>
      <c r="Z110" s="38">
        <v>63.7</v>
      </c>
      <c r="AA110" s="9">
        <v>-0.7</v>
      </c>
      <c r="AB110" s="38">
        <v>0</v>
      </c>
      <c r="AC110" s="38">
        <v>6.0891966713519707E-2</v>
      </c>
      <c r="AD110" s="38">
        <v>0</v>
      </c>
      <c r="AE110" s="9">
        <v>1.3864384426578003</v>
      </c>
      <c r="AF110" s="38">
        <v>1</v>
      </c>
      <c r="AG110" s="9">
        <v>0.32771535580525324</v>
      </c>
      <c r="AH110" s="41">
        <v>1</v>
      </c>
      <c r="AI110" s="42">
        <v>1.0474459998705721E-2</v>
      </c>
      <c r="AJ110" s="42">
        <v>0.29793463244768947</v>
      </c>
      <c r="AK110" s="9"/>
      <c r="AM110" s="9"/>
      <c r="AN110" s="9"/>
      <c r="AO110" s="9"/>
      <c r="AP110" s="9"/>
      <c r="AQ110" s="9"/>
      <c r="AR110" s="9"/>
      <c r="AS110" s="9"/>
      <c r="AU110" s="9"/>
      <c r="AV110" s="9"/>
      <c r="AW110" s="15"/>
      <c r="AX110" s="9"/>
      <c r="BC110" s="9"/>
      <c r="BD110" s="9"/>
      <c r="BE110" s="9"/>
      <c r="BF110" s="9"/>
      <c r="BG110" s="9"/>
      <c r="BL110" s="9"/>
      <c r="BM110" s="9"/>
      <c r="BN110" s="9"/>
      <c r="BO110" s="20"/>
      <c r="BP110" s="20"/>
      <c r="BQ110" s="9"/>
      <c r="BR110" s="9"/>
      <c r="BS110" s="21"/>
      <c r="BT110" s="9"/>
      <c r="BW110" s="26"/>
      <c r="BX110" s="2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</row>
    <row r="111" spans="1:87" ht="15">
      <c r="A111" s="13">
        <v>26938</v>
      </c>
      <c r="B111" s="12">
        <v>5456.4889999999996</v>
      </c>
      <c r="C111" s="9">
        <v>1</v>
      </c>
      <c r="D111" s="24">
        <v>6954</v>
      </c>
      <c r="E111" s="12">
        <v>27.106999999999999</v>
      </c>
      <c r="F111" s="12">
        <v>34.881</v>
      </c>
      <c r="G111" s="12">
        <v>69.628</v>
      </c>
      <c r="H111" s="34">
        <v>67.8</v>
      </c>
      <c r="I111" s="34">
        <v>1478.3</v>
      </c>
      <c r="J111" s="35">
        <v>26.108000000000001</v>
      </c>
      <c r="K111" s="35">
        <v>50.095999999999997</v>
      </c>
      <c r="L111" s="35">
        <v>69.183999999999997</v>
      </c>
      <c r="M111" s="5">
        <v>0.36170308335903406</v>
      </c>
      <c r="N111" s="5">
        <v>2.6347893892199776</v>
      </c>
      <c r="O111" s="5">
        <v>-1.6698303659748275</v>
      </c>
      <c r="P111" s="6">
        <v>1</v>
      </c>
      <c r="Q111" s="6">
        <v>1</v>
      </c>
      <c r="R111" s="33">
        <v>0</v>
      </c>
      <c r="S111" s="5">
        <v>-3.2902</v>
      </c>
      <c r="T111" s="26">
        <v>13</v>
      </c>
      <c r="U111">
        <v>3.5952450927834601E-3</v>
      </c>
      <c r="V111" s="9">
        <v>-4.6903E-2</v>
      </c>
      <c r="W111" s="38">
        <v>0</v>
      </c>
      <c r="X111" s="38">
        <v>76.5</v>
      </c>
      <c r="Y111" s="38">
        <v>91.7</v>
      </c>
      <c r="Z111" s="38">
        <v>67.8</v>
      </c>
      <c r="AA111" s="9">
        <v>-0.1</v>
      </c>
      <c r="AB111" s="38">
        <v>0</v>
      </c>
      <c r="AC111" s="38">
        <v>5.4895102883323554E-2</v>
      </c>
      <c r="AD111" s="38">
        <v>0</v>
      </c>
      <c r="AE111" s="9">
        <v>8.4748457733338824</v>
      </c>
      <c r="AF111" s="38">
        <v>1</v>
      </c>
      <c r="AG111" s="9">
        <v>0.24887229740238581</v>
      </c>
      <c r="AH111" s="41">
        <v>1</v>
      </c>
      <c r="AI111" s="42">
        <v>-0.58464310969304734</v>
      </c>
      <c r="AJ111" s="42">
        <v>-1.0038135893466189</v>
      </c>
      <c r="AK111" s="9"/>
      <c r="AM111" s="9"/>
      <c r="AN111" s="9"/>
      <c r="AO111" s="9"/>
      <c r="AP111" s="9"/>
      <c r="AQ111" s="9"/>
      <c r="AR111" s="9"/>
      <c r="AS111" s="9"/>
      <c r="AU111" s="9"/>
      <c r="AV111" s="9"/>
      <c r="AW111" s="15"/>
      <c r="AX111" s="9"/>
      <c r="BC111" s="9"/>
      <c r="BD111" s="9"/>
      <c r="BE111" s="9"/>
      <c r="BF111" s="9"/>
      <c r="BG111" s="9"/>
      <c r="BL111" s="9"/>
      <c r="BM111" s="9"/>
      <c r="BN111" s="9"/>
      <c r="BO111" s="20"/>
      <c r="BP111" s="20"/>
      <c r="BQ111" s="9"/>
      <c r="BR111" s="9"/>
      <c r="BS111" s="21"/>
      <c r="BT111" s="9"/>
      <c r="BW111" s="26"/>
      <c r="BX111" s="2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</row>
    <row r="112" spans="1:87" ht="15">
      <c r="A112" s="13">
        <v>27030</v>
      </c>
      <c r="B112" s="12">
        <v>5411.1620000000003</v>
      </c>
      <c r="C112" s="9">
        <v>1</v>
      </c>
      <c r="D112" s="24">
        <v>7012</v>
      </c>
      <c r="E112" s="12">
        <v>27.622</v>
      </c>
      <c r="F112" s="12">
        <v>34.661000000000001</v>
      </c>
      <c r="G112" s="12">
        <v>69.331999999999994</v>
      </c>
      <c r="H112" s="34">
        <v>61.3</v>
      </c>
      <c r="I112" s="34">
        <v>1494.7</v>
      </c>
      <c r="J112" s="35">
        <v>26.882999999999999</v>
      </c>
      <c r="K112" s="35">
        <v>49.993000000000002</v>
      </c>
      <c r="L112" s="35">
        <v>68.715999999999994</v>
      </c>
      <c r="M112" s="5">
        <v>-7.7521348811789483</v>
      </c>
      <c r="N112" s="5">
        <v>-3.1314883813121783</v>
      </c>
      <c r="O112" s="5">
        <v>-1.2531399031320647</v>
      </c>
      <c r="P112" s="6">
        <v>1</v>
      </c>
      <c r="Q112" s="6">
        <v>1</v>
      </c>
      <c r="R112" s="33">
        <v>0</v>
      </c>
      <c r="S112" s="5">
        <v>2.4714999999999998</v>
      </c>
      <c r="T112" s="26">
        <v>13</v>
      </c>
      <c r="U112">
        <v>0</v>
      </c>
      <c r="V112" s="9">
        <v>0.17615400000000001</v>
      </c>
      <c r="W112" s="38">
        <v>0</v>
      </c>
      <c r="X112" s="38">
        <v>61.8</v>
      </c>
      <c r="Y112" s="38">
        <v>81.8</v>
      </c>
      <c r="Z112" s="38">
        <v>50.1</v>
      </c>
      <c r="AA112" s="9">
        <v>-2.4</v>
      </c>
      <c r="AB112" s="38">
        <v>0</v>
      </c>
      <c r="AC112" s="38">
        <v>8.0285608900572569E-2</v>
      </c>
      <c r="AD112" s="38">
        <v>0</v>
      </c>
      <c r="AE112" s="9">
        <v>3.9917540421957609</v>
      </c>
      <c r="AF112" s="38">
        <v>1</v>
      </c>
      <c r="AG112" s="9">
        <v>0.83785880527540257</v>
      </c>
      <c r="AH112" s="41">
        <v>1</v>
      </c>
      <c r="AI112" s="42">
        <v>-0.52289319857147165</v>
      </c>
      <c r="AJ112" s="42">
        <v>-0.36442534111553698</v>
      </c>
      <c r="AK112" s="9"/>
      <c r="AM112" s="9"/>
      <c r="AN112" s="9"/>
      <c r="AO112" s="9"/>
      <c r="AP112" s="9"/>
      <c r="AQ112" s="9"/>
      <c r="AR112" s="9"/>
      <c r="AS112" s="9"/>
      <c r="AU112" s="9"/>
      <c r="AV112" s="9"/>
      <c r="AW112" s="15"/>
      <c r="AX112" s="9"/>
      <c r="BC112" s="9"/>
      <c r="BD112" s="9"/>
      <c r="BE112" s="9"/>
      <c r="BF112" s="9"/>
      <c r="BG112" s="9"/>
      <c r="BL112" s="9"/>
      <c r="BM112" s="9"/>
      <c r="BN112" s="9"/>
      <c r="BO112" s="20"/>
      <c r="BP112" s="20"/>
      <c r="BQ112" s="9"/>
      <c r="BR112" s="9"/>
      <c r="BS112" s="21"/>
      <c r="BT112" s="9"/>
      <c r="BW112" s="26"/>
      <c r="BX112" s="2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</row>
    <row r="113" spans="1:87" ht="15">
      <c r="A113" s="13">
        <v>27120</v>
      </c>
      <c r="B113" s="12">
        <v>5425.3819999999996</v>
      </c>
      <c r="C113" s="9">
        <v>1</v>
      </c>
      <c r="D113" s="24">
        <v>7183</v>
      </c>
      <c r="E113" s="12">
        <v>28.279</v>
      </c>
      <c r="F113" s="12">
        <v>34.659999999999997</v>
      </c>
      <c r="G113" s="12">
        <v>69.513000000000005</v>
      </c>
      <c r="H113" s="34">
        <v>58.6</v>
      </c>
      <c r="I113" s="34">
        <v>1524.1</v>
      </c>
      <c r="J113" s="35">
        <v>27.645</v>
      </c>
      <c r="K113" s="35">
        <v>49.860999999999997</v>
      </c>
      <c r="L113" s="35">
        <v>68.677000000000007</v>
      </c>
      <c r="M113" s="5">
        <v>-2.4855183362293674</v>
      </c>
      <c r="N113" s="5">
        <v>3.9298082889131849</v>
      </c>
      <c r="O113" s="5">
        <v>-1.1344601364205578</v>
      </c>
      <c r="P113" s="6">
        <v>1</v>
      </c>
      <c r="Q113" s="6">
        <v>1</v>
      </c>
      <c r="R113" s="33">
        <v>0</v>
      </c>
      <c r="S113" s="5">
        <v>0.81869999999999998</v>
      </c>
      <c r="T113" s="26">
        <v>-19</v>
      </c>
      <c r="U113">
        <v>0</v>
      </c>
      <c r="V113" s="9">
        <v>4.2098999999999998E-2</v>
      </c>
      <c r="W113" s="38">
        <v>0</v>
      </c>
      <c r="X113" s="38">
        <v>72.099999999999994</v>
      </c>
      <c r="Y113" s="38">
        <v>85.6</v>
      </c>
      <c r="Z113" s="38">
        <v>64.599999999999994</v>
      </c>
      <c r="AA113" s="9">
        <v>1.9</v>
      </c>
      <c r="AB113" s="38">
        <v>0</v>
      </c>
      <c r="AC113" s="38">
        <v>2.7387230135783813E-2</v>
      </c>
      <c r="AD113" s="38">
        <v>0</v>
      </c>
      <c r="AE113" s="9">
        <v>3.2364324767710118</v>
      </c>
      <c r="AF113" s="38">
        <v>1</v>
      </c>
      <c r="AG113" s="9">
        <v>-7.6934913063539057E-2</v>
      </c>
      <c r="AH113" s="41">
        <v>1</v>
      </c>
      <c r="AI113" s="42">
        <v>0.50102701542713457</v>
      </c>
      <c r="AJ113" s="42">
        <v>-0.36027981994243841</v>
      </c>
      <c r="AK113" s="9"/>
      <c r="AM113" s="9"/>
      <c r="AN113" s="9"/>
      <c r="AO113" s="9"/>
      <c r="AP113" s="9"/>
      <c r="AQ113" s="9"/>
      <c r="AR113" s="9"/>
      <c r="AS113" s="9"/>
      <c r="AU113" s="9"/>
      <c r="AV113" s="9"/>
      <c r="AW113" s="15"/>
      <c r="AX113" s="9"/>
      <c r="BC113" s="9"/>
      <c r="BD113" s="9"/>
      <c r="BE113" s="9"/>
      <c r="BF113" s="9"/>
      <c r="BG113" s="9"/>
      <c r="BL113" s="9"/>
      <c r="BM113" s="9"/>
      <c r="BN113" s="9"/>
      <c r="BO113" s="20"/>
      <c r="BP113" s="20"/>
      <c r="BQ113" s="9"/>
      <c r="BR113" s="9"/>
      <c r="BS113" s="21"/>
      <c r="BT113" s="9"/>
      <c r="BW113" s="26"/>
      <c r="BX113" s="2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</row>
    <row r="114" spans="1:87" ht="15">
      <c r="A114" s="13">
        <v>27211</v>
      </c>
      <c r="B114" s="12">
        <v>5372.8490000000002</v>
      </c>
      <c r="C114" s="9">
        <v>1</v>
      </c>
      <c r="D114" s="24">
        <v>7301</v>
      </c>
      <c r="E114" s="12">
        <v>29.097999999999999</v>
      </c>
      <c r="F114" s="12">
        <v>34.173000000000002</v>
      </c>
      <c r="G114" s="12">
        <v>69.271000000000001</v>
      </c>
      <c r="H114" s="34">
        <v>49.9</v>
      </c>
      <c r="I114" s="34">
        <v>1560</v>
      </c>
      <c r="J114" s="35">
        <v>28.390999999999998</v>
      </c>
      <c r="K114" s="35">
        <v>49.332000000000001</v>
      </c>
      <c r="L114" s="35">
        <v>68.778999999999996</v>
      </c>
      <c r="M114" s="5">
        <v>-4.5929294470510618</v>
      </c>
      <c r="N114" s="5">
        <v>1.8608753618464062</v>
      </c>
      <c r="O114" s="5">
        <v>-0.43123238621357524</v>
      </c>
      <c r="P114" s="6">
        <v>1</v>
      </c>
      <c r="Q114" s="6">
        <v>1</v>
      </c>
      <c r="R114" s="33">
        <v>0</v>
      </c>
      <c r="S114" s="5">
        <v>0</v>
      </c>
      <c r="T114" s="26">
        <v>-34</v>
      </c>
      <c r="U114">
        <v>0</v>
      </c>
      <c r="V114" s="9">
        <v>7.2317999999999993E-2</v>
      </c>
      <c r="W114" s="38">
        <v>0</v>
      </c>
      <c r="X114" s="38">
        <v>64.400000000000006</v>
      </c>
      <c r="Y114" s="38">
        <v>75.7</v>
      </c>
      <c r="Z114" s="38">
        <v>58.3</v>
      </c>
      <c r="AA114" s="9">
        <v>1</v>
      </c>
      <c r="AB114" s="9">
        <v>1</v>
      </c>
      <c r="AC114" s="38">
        <v>3.7505874402755213E-2</v>
      </c>
      <c r="AD114" s="38">
        <v>0</v>
      </c>
      <c r="AE114" s="9">
        <v>5.6217827081583849E-2</v>
      </c>
      <c r="AF114" s="38">
        <v>1</v>
      </c>
      <c r="AG114" s="9">
        <v>0</v>
      </c>
      <c r="AH114" s="41">
        <v>1</v>
      </c>
      <c r="AI114" s="42">
        <v>1.052008080376611</v>
      </c>
      <c r="AJ114" s="42">
        <v>0.60608020363727844</v>
      </c>
      <c r="AK114" s="9"/>
      <c r="AM114" s="9"/>
      <c r="AN114" s="9"/>
      <c r="AO114" s="9"/>
      <c r="AP114" s="9"/>
      <c r="AQ114" s="9"/>
      <c r="AR114" s="9"/>
      <c r="AS114" s="9"/>
      <c r="AU114" s="9"/>
      <c r="AV114" s="9"/>
      <c r="AW114" s="15"/>
      <c r="AX114" s="9"/>
      <c r="BC114" s="9"/>
      <c r="BD114" s="9"/>
      <c r="BE114" s="9"/>
      <c r="BF114" s="9"/>
      <c r="BG114" s="9"/>
      <c r="BL114" s="9"/>
      <c r="BM114" s="9"/>
      <c r="BN114" s="9"/>
      <c r="BO114" s="20"/>
      <c r="BP114" s="20"/>
      <c r="BQ114" s="9"/>
      <c r="BR114" s="9"/>
      <c r="BS114" s="21"/>
      <c r="BT114" s="9"/>
      <c r="BW114" s="26"/>
      <c r="BX114" s="2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</row>
    <row r="115" spans="1:87" ht="15">
      <c r="A115" s="13">
        <v>27303</v>
      </c>
      <c r="B115" s="12">
        <v>5351.3559999999998</v>
      </c>
      <c r="C115" s="9">
        <v>1</v>
      </c>
      <c r="D115" s="24">
        <v>7466</v>
      </c>
      <c r="E115" s="12">
        <v>29.954999999999998</v>
      </c>
      <c r="F115" s="12">
        <v>33.905000000000001</v>
      </c>
      <c r="G115" s="12">
        <v>68.126000000000005</v>
      </c>
      <c r="H115" s="34">
        <v>51.9</v>
      </c>
      <c r="I115" s="34">
        <v>1586.8</v>
      </c>
      <c r="J115" s="35">
        <v>29.114000000000001</v>
      </c>
      <c r="K115" s="35">
        <v>49.768000000000001</v>
      </c>
      <c r="L115" s="35">
        <v>68.573999999999998</v>
      </c>
      <c r="M115" s="5">
        <v>-2.3229999757236324</v>
      </c>
      <c r="N115" s="5">
        <v>2.494358558052562</v>
      </c>
      <c r="O115" s="5">
        <v>-0.71562189438524582</v>
      </c>
      <c r="P115" s="6">
        <v>1</v>
      </c>
      <c r="Q115" s="6">
        <v>1</v>
      </c>
      <c r="R115" s="33">
        <v>0</v>
      </c>
      <c r="S115" s="5">
        <v>0</v>
      </c>
      <c r="T115" s="26">
        <v>-19</v>
      </c>
      <c r="U115">
        <v>0</v>
      </c>
      <c r="V115" s="9">
        <v>-3.074300000000002E-2</v>
      </c>
      <c r="W115" s="38">
        <v>0</v>
      </c>
      <c r="X115" s="38">
        <v>59.5</v>
      </c>
      <c r="Y115" s="38">
        <v>73.099999999999994</v>
      </c>
      <c r="Z115" s="38">
        <v>51.9</v>
      </c>
      <c r="AA115" s="9">
        <v>-1.2</v>
      </c>
      <c r="AB115" s="9">
        <v>1</v>
      </c>
      <c r="AC115" s="38">
        <v>-6.7607508528163329E-2</v>
      </c>
      <c r="AD115" s="38">
        <v>0</v>
      </c>
      <c r="AE115" s="9">
        <v>1.5394251152191174</v>
      </c>
      <c r="AF115" s="38">
        <v>1</v>
      </c>
      <c r="AG115" s="9">
        <v>-1.2627040344933675</v>
      </c>
      <c r="AH115" s="41">
        <v>1</v>
      </c>
      <c r="AI115" s="42">
        <v>1.3456079535292811</v>
      </c>
      <c r="AJ115" s="42">
        <v>1.6192082460823609</v>
      </c>
      <c r="AK115" s="9"/>
      <c r="AM115" s="9"/>
      <c r="AN115" s="9"/>
      <c r="AO115" s="9"/>
      <c r="AP115" s="9"/>
      <c r="AQ115" s="9"/>
      <c r="AR115" s="9"/>
      <c r="AS115" s="9"/>
      <c r="AU115" s="9"/>
      <c r="AV115" s="9"/>
      <c r="AW115" s="15"/>
      <c r="AX115" s="9"/>
      <c r="BC115" s="9"/>
      <c r="BD115" s="9"/>
      <c r="BE115" s="9"/>
      <c r="BF115" s="9"/>
      <c r="BG115" s="9"/>
      <c r="BL115" s="9"/>
      <c r="BM115" s="9"/>
      <c r="BN115" s="9"/>
      <c r="BO115" s="20"/>
      <c r="BP115" s="20"/>
      <c r="BQ115" s="9"/>
      <c r="BR115" s="9"/>
      <c r="BS115" s="21"/>
      <c r="BT115" s="9"/>
      <c r="BW115" s="26"/>
      <c r="BX115" s="2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</row>
    <row r="116" spans="1:87" ht="15">
      <c r="A116" s="13">
        <v>27395</v>
      </c>
      <c r="B116" s="12">
        <v>5286.7049999999999</v>
      </c>
      <c r="C116" s="9">
        <v>1</v>
      </c>
      <c r="D116" s="24">
        <v>7528</v>
      </c>
      <c r="E116" s="12">
        <v>30.634</v>
      </c>
      <c r="F116" s="12">
        <v>33.100999999999999</v>
      </c>
      <c r="G116" s="12">
        <v>65.989000000000004</v>
      </c>
      <c r="H116" s="34">
        <v>60.1</v>
      </c>
      <c r="I116" s="34">
        <v>1604.3</v>
      </c>
      <c r="J116" s="35">
        <v>29.664000000000001</v>
      </c>
      <c r="K116" s="35">
        <v>50.161000000000001</v>
      </c>
      <c r="L116" s="35">
        <v>69.171999999999997</v>
      </c>
      <c r="M116" s="5">
        <v>0.69288412434735447</v>
      </c>
      <c r="N116" s="5">
        <v>2.726637784821583</v>
      </c>
      <c r="O116" s="5">
        <v>-1.2131246266522335</v>
      </c>
      <c r="P116" s="6">
        <v>1</v>
      </c>
      <c r="Q116" s="6">
        <v>1</v>
      </c>
      <c r="R116" s="33">
        <v>0</v>
      </c>
      <c r="S116" s="5">
        <v>0</v>
      </c>
      <c r="T116" s="26">
        <v>8</v>
      </c>
      <c r="U116">
        <v>0</v>
      </c>
      <c r="V116" s="9">
        <v>7.8371000000000024E-2</v>
      </c>
      <c r="W116" s="38">
        <v>0</v>
      </c>
      <c r="X116" s="38">
        <v>57.6</v>
      </c>
      <c r="Y116" s="38">
        <v>70</v>
      </c>
      <c r="Z116" s="38">
        <v>50.7</v>
      </c>
      <c r="AA116" s="9">
        <v>0.3</v>
      </c>
      <c r="AB116" s="9">
        <v>1</v>
      </c>
      <c r="AC116" s="38">
        <v>-2.6340492346780153E-2</v>
      </c>
      <c r="AD116" s="38">
        <v>0</v>
      </c>
      <c r="AE116" s="9">
        <v>-0.71420600317402272</v>
      </c>
      <c r="AF116" s="38">
        <v>1</v>
      </c>
      <c r="AG116" s="9">
        <v>-0.57704304429195474</v>
      </c>
      <c r="AH116" s="41">
        <v>1</v>
      </c>
      <c r="AI116" s="42">
        <v>1.644337148374611</v>
      </c>
      <c r="AJ116" s="42">
        <v>1.2951975885888849</v>
      </c>
      <c r="AK116" s="9"/>
      <c r="AM116" s="9"/>
      <c r="AN116" s="9"/>
      <c r="AO116" s="9"/>
      <c r="AP116" s="9"/>
      <c r="AQ116" s="9"/>
      <c r="AR116" s="9"/>
      <c r="AS116" s="9"/>
      <c r="AU116" s="9"/>
      <c r="AV116" s="9"/>
      <c r="AW116" s="15"/>
      <c r="AX116" s="9"/>
      <c r="BC116" s="9"/>
      <c r="BD116" s="9"/>
      <c r="BE116" s="9"/>
      <c r="BF116" s="9"/>
      <c r="BG116" s="9"/>
      <c r="BL116" s="9"/>
      <c r="BM116" s="9"/>
      <c r="BN116" s="9"/>
      <c r="BO116" s="20"/>
      <c r="BP116" s="20"/>
      <c r="BQ116" s="9"/>
      <c r="BR116" s="9"/>
      <c r="BS116" s="21"/>
      <c r="BT116" s="9"/>
      <c r="BW116" s="26"/>
      <c r="BX116" s="2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</row>
    <row r="117" spans="1:87" ht="15">
      <c r="A117" s="13">
        <v>27485</v>
      </c>
      <c r="B117" s="12">
        <v>5327.4369999999999</v>
      </c>
      <c r="C117" s="9">
        <v>0</v>
      </c>
      <c r="D117" s="24">
        <v>7681</v>
      </c>
      <c r="E117" s="12">
        <v>31.093</v>
      </c>
      <c r="F117" s="12">
        <v>33.343000000000004</v>
      </c>
      <c r="G117" s="12">
        <v>65.38</v>
      </c>
      <c r="H117" s="34">
        <v>68.8</v>
      </c>
      <c r="I117" s="34">
        <v>1642.1</v>
      </c>
      <c r="J117" s="35">
        <v>30.029</v>
      </c>
      <c r="K117" s="35">
        <v>50.999000000000002</v>
      </c>
      <c r="L117" s="35">
        <v>69.81</v>
      </c>
      <c r="M117" s="5">
        <v>5.2255566382981558</v>
      </c>
      <c r="N117" s="5">
        <v>4.3327304477742912</v>
      </c>
      <c r="O117" s="5">
        <v>-4.5234275890203559</v>
      </c>
      <c r="P117" s="6">
        <v>1</v>
      </c>
      <c r="Q117" s="6">
        <v>1</v>
      </c>
      <c r="R117" s="33">
        <v>0</v>
      </c>
      <c r="S117" s="5">
        <v>0</v>
      </c>
      <c r="T117" s="26">
        <v>28</v>
      </c>
      <c r="U117">
        <v>0</v>
      </c>
      <c r="V117" s="9">
        <v>0.24257999999999996</v>
      </c>
      <c r="W117" s="38">
        <v>0</v>
      </c>
      <c r="X117" s="38">
        <v>72.8</v>
      </c>
      <c r="Y117" s="38">
        <v>78.099999999999994</v>
      </c>
      <c r="Z117" s="38">
        <v>70.5</v>
      </c>
      <c r="AA117" s="9">
        <v>-1.6</v>
      </c>
      <c r="AB117" s="9">
        <v>1</v>
      </c>
      <c r="AC117" s="38">
        <v>-1.8623867800080518E-2</v>
      </c>
      <c r="AD117" s="38">
        <v>0</v>
      </c>
      <c r="AE117" s="9">
        <v>3.1117316861271727</v>
      </c>
      <c r="AF117" s="38">
        <v>1</v>
      </c>
      <c r="AG117" s="9">
        <v>-0.50196078431372371</v>
      </c>
      <c r="AH117" s="41">
        <v>1</v>
      </c>
      <c r="AI117" s="42">
        <v>0.93551302561901684</v>
      </c>
      <c r="AJ117" s="42">
        <v>1.1092560432518279</v>
      </c>
      <c r="AK117" s="9"/>
      <c r="AM117" s="9"/>
      <c r="AN117" s="9"/>
      <c r="AO117" s="9"/>
      <c r="AP117" s="9"/>
      <c r="AQ117" s="9"/>
      <c r="AR117" s="9"/>
      <c r="AS117" s="9"/>
      <c r="AU117" s="9"/>
      <c r="AV117" s="9"/>
      <c r="AW117" s="15"/>
      <c r="AX117" s="9"/>
      <c r="BC117" s="9"/>
      <c r="BD117" s="9"/>
      <c r="BE117" s="9"/>
      <c r="BF117" s="9"/>
      <c r="BG117" s="9"/>
      <c r="BL117" s="9"/>
      <c r="BM117" s="9"/>
      <c r="BN117" s="9"/>
      <c r="BO117" s="20"/>
      <c r="BP117" s="20"/>
      <c r="BQ117" s="9"/>
      <c r="BR117" s="9"/>
      <c r="BS117" s="21"/>
      <c r="BT117" s="9"/>
      <c r="BW117" s="26"/>
      <c r="BX117" s="2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</row>
    <row r="118" spans="1:87" ht="15">
      <c r="A118" s="13">
        <v>27576</v>
      </c>
      <c r="B118" s="12">
        <v>5415.4780000000001</v>
      </c>
      <c r="C118" s="9">
        <v>0</v>
      </c>
      <c r="D118" s="24">
        <v>7924</v>
      </c>
      <c r="E118" s="12">
        <v>31.646999999999998</v>
      </c>
      <c r="F118" s="12">
        <v>34.029000000000003</v>
      </c>
      <c r="G118" s="12">
        <v>65.978999999999999</v>
      </c>
      <c r="H118" s="34">
        <v>78.2</v>
      </c>
      <c r="I118" s="34">
        <v>1705.1</v>
      </c>
      <c r="J118" s="35">
        <v>30.591999999999999</v>
      </c>
      <c r="K118" s="35">
        <v>51.576000000000001</v>
      </c>
      <c r="L118" s="35">
        <v>69.643000000000001</v>
      </c>
      <c r="M118" s="5">
        <v>5.6321934941125393</v>
      </c>
      <c r="N118" s="5">
        <v>2.5844006291412138</v>
      </c>
      <c r="O118" s="5">
        <v>-1.9335174140306857</v>
      </c>
      <c r="P118" s="6">
        <v>1</v>
      </c>
      <c r="Q118" s="6">
        <v>1</v>
      </c>
      <c r="R118" s="33">
        <v>0</v>
      </c>
      <c r="S118" s="5">
        <v>0</v>
      </c>
      <c r="T118" s="26">
        <v>30</v>
      </c>
      <c r="U118">
        <v>0</v>
      </c>
      <c r="V118" s="9">
        <v>2.8144999999999976E-2</v>
      </c>
      <c r="W118" s="38">
        <v>0</v>
      </c>
      <c r="X118" s="38">
        <v>75.7</v>
      </c>
      <c r="Y118" s="38">
        <v>84.2</v>
      </c>
      <c r="Z118" s="38">
        <v>71.400000000000006</v>
      </c>
      <c r="AA118" s="9">
        <v>-0.2</v>
      </c>
      <c r="AB118" s="9">
        <v>1</v>
      </c>
      <c r="AC118" s="38">
        <v>4.5479472434333257E-3</v>
      </c>
      <c r="AD118" s="38">
        <v>0</v>
      </c>
      <c r="AE118" s="9">
        <v>5.8368449303490388</v>
      </c>
      <c r="AF118" s="38">
        <v>1</v>
      </c>
      <c r="AG118" s="9">
        <v>1.0878133375374404</v>
      </c>
      <c r="AH118" s="41">
        <v>1</v>
      </c>
      <c r="AI118" s="42">
        <v>0.82599464140233159</v>
      </c>
      <c r="AJ118" s="42">
        <v>0.96726646046047493</v>
      </c>
      <c r="AK118" s="9"/>
      <c r="AM118" s="9"/>
      <c r="AN118" s="9"/>
      <c r="AO118" s="9"/>
      <c r="AP118" s="9"/>
      <c r="AQ118" s="9"/>
      <c r="AR118" s="9"/>
      <c r="AS118" s="9"/>
      <c r="AU118" s="9"/>
      <c r="AV118" s="9"/>
      <c r="AW118" s="15"/>
      <c r="AX118" s="9"/>
      <c r="BC118" s="9"/>
      <c r="BD118" s="9"/>
      <c r="BE118" s="9"/>
      <c r="BF118" s="9"/>
      <c r="BG118" s="9"/>
      <c r="BL118" s="9"/>
      <c r="BM118" s="9"/>
      <c r="BN118" s="9"/>
      <c r="BO118" s="20"/>
      <c r="BP118" s="20"/>
      <c r="BQ118" s="9"/>
      <c r="BR118" s="9"/>
      <c r="BS118" s="21"/>
      <c r="BT118" s="9"/>
      <c r="BW118" s="26"/>
      <c r="BX118" s="2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</row>
    <row r="119" spans="1:87" ht="15">
      <c r="A119" s="13">
        <v>27668</v>
      </c>
      <c r="B119" s="12">
        <v>5488.4889999999996</v>
      </c>
      <c r="C119" s="9">
        <v>0</v>
      </c>
      <c r="D119" s="24">
        <v>8143</v>
      </c>
      <c r="E119" s="12">
        <v>32.173999999999999</v>
      </c>
      <c r="F119" s="12">
        <v>34.645000000000003</v>
      </c>
      <c r="G119" s="12">
        <v>67.111000000000004</v>
      </c>
      <c r="H119" s="34">
        <v>83.2</v>
      </c>
      <c r="I119" s="34">
        <v>1751.3</v>
      </c>
      <c r="J119" s="35">
        <v>31.105</v>
      </c>
      <c r="K119" s="35">
        <v>51.622999999999998</v>
      </c>
      <c r="L119" s="35">
        <v>69.5</v>
      </c>
      <c r="M119" s="5">
        <v>1.4372205284208459</v>
      </c>
      <c r="N119" s="5">
        <v>-2.3699107692384302</v>
      </c>
      <c r="O119" s="5">
        <v>-2.0021518831929899</v>
      </c>
      <c r="P119" s="6">
        <v>1</v>
      </c>
      <c r="Q119" s="6">
        <v>1</v>
      </c>
      <c r="R119" s="33">
        <v>0</v>
      </c>
      <c r="S119" s="5">
        <v>0</v>
      </c>
      <c r="T119" s="26">
        <v>26</v>
      </c>
      <c r="U119">
        <v>0</v>
      </c>
      <c r="V119" s="9">
        <v>-0.14860099999999998</v>
      </c>
      <c r="W119" s="38">
        <v>0</v>
      </c>
      <c r="X119" s="38">
        <v>75.599999999999994</v>
      </c>
      <c r="Y119" s="38">
        <v>85.1</v>
      </c>
      <c r="Z119" s="38">
        <v>70.599999999999994</v>
      </c>
      <c r="AA119" s="9">
        <v>1.4</v>
      </c>
      <c r="AB119" s="9">
        <v>1</v>
      </c>
      <c r="AC119" s="38">
        <v>8.3889992747173237E-2</v>
      </c>
      <c r="AD119" s="38">
        <v>0</v>
      </c>
      <c r="AE119" s="9">
        <v>3.3105725179265244</v>
      </c>
      <c r="AF119" s="38">
        <v>1</v>
      </c>
      <c r="AG119" s="9">
        <v>1.9650655021833785</v>
      </c>
      <c r="AH119" s="41">
        <v>1</v>
      </c>
      <c r="AI119" s="42">
        <v>0.94832551381242591</v>
      </c>
      <c r="AJ119" s="42">
        <v>1.4503259884321791</v>
      </c>
      <c r="AK119" s="9"/>
      <c r="AM119" s="9"/>
      <c r="AN119" s="9"/>
      <c r="AO119" s="9"/>
      <c r="AP119" s="9"/>
      <c r="AQ119" s="9"/>
      <c r="AR119" s="9"/>
      <c r="AS119" s="9"/>
      <c r="AU119" s="9"/>
      <c r="AV119" s="9"/>
      <c r="AW119" s="15"/>
      <c r="AX119" s="9"/>
      <c r="BC119" s="9"/>
      <c r="BD119" s="9"/>
      <c r="BE119" s="9"/>
      <c r="BF119" s="9"/>
      <c r="BG119" s="9"/>
      <c r="BL119" s="9"/>
      <c r="BM119" s="9"/>
      <c r="BN119" s="9"/>
      <c r="BO119" s="20"/>
      <c r="BP119" s="20"/>
      <c r="BQ119" s="9"/>
      <c r="BR119" s="9"/>
      <c r="BS119" s="21"/>
      <c r="BT119" s="9"/>
      <c r="BW119" s="26"/>
      <c r="BX119" s="2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</row>
    <row r="120" spans="1:87" ht="15">
      <c r="A120" s="13">
        <v>27760</v>
      </c>
      <c r="B120" s="12">
        <v>5612.4269999999997</v>
      </c>
      <c r="C120" s="9">
        <v>0</v>
      </c>
      <c r="D120" s="24">
        <v>8396</v>
      </c>
      <c r="E120" s="12">
        <v>32.508000000000003</v>
      </c>
      <c r="F120" s="12">
        <v>35.737000000000002</v>
      </c>
      <c r="G120" s="12">
        <v>68.221000000000004</v>
      </c>
      <c r="H120" s="34">
        <v>92.5</v>
      </c>
      <c r="I120" s="34">
        <v>1806.3</v>
      </c>
      <c r="J120" s="35">
        <v>31.448</v>
      </c>
      <c r="K120" s="35">
        <v>52.384</v>
      </c>
      <c r="L120" s="35">
        <v>70.022999999999996</v>
      </c>
      <c r="M120" s="5">
        <v>6.385073548130026</v>
      </c>
      <c r="N120" s="5">
        <v>3.2150016773599326</v>
      </c>
      <c r="O120" s="5">
        <v>-1.8395214335986378</v>
      </c>
      <c r="P120" s="6">
        <v>1</v>
      </c>
      <c r="Q120" s="6">
        <v>1</v>
      </c>
      <c r="R120" s="33">
        <v>0</v>
      </c>
      <c r="S120" s="5">
        <v>0</v>
      </c>
      <c r="T120" s="26">
        <v>29</v>
      </c>
      <c r="U120">
        <v>2.33379257450787E-3</v>
      </c>
      <c r="V120" s="9">
        <v>7.3724000000000012E-2</v>
      </c>
      <c r="W120" s="38">
        <v>0</v>
      </c>
      <c r="X120" s="38">
        <v>84.6</v>
      </c>
      <c r="Y120" s="38">
        <v>90.6</v>
      </c>
      <c r="Z120" s="38">
        <v>81.900000000000006</v>
      </c>
      <c r="AA120" s="9">
        <v>1.7</v>
      </c>
      <c r="AB120" s="9">
        <v>1</v>
      </c>
      <c r="AC120" s="38">
        <v>4.0624486795935111E-2</v>
      </c>
      <c r="AD120" s="38">
        <v>0</v>
      </c>
      <c r="AE120" s="9">
        <v>7.4042463526980073</v>
      </c>
      <c r="AF120" s="38">
        <v>1</v>
      </c>
      <c r="AG120" s="9">
        <v>0.9024166411746819</v>
      </c>
      <c r="AH120" s="41">
        <v>1</v>
      </c>
      <c r="AI120" s="42">
        <v>0.92810665147128413</v>
      </c>
      <c r="AJ120" s="42">
        <v>0.46163960427895362</v>
      </c>
      <c r="AK120" s="9"/>
      <c r="AM120" s="9"/>
      <c r="AN120" s="9"/>
      <c r="AO120" s="9"/>
      <c r="AP120" s="9"/>
      <c r="AQ120" s="9"/>
      <c r="AR120" s="9"/>
      <c r="AS120" s="9"/>
      <c r="AU120" s="9"/>
      <c r="AV120" s="9"/>
      <c r="AW120" s="15"/>
      <c r="AX120" s="9"/>
      <c r="BC120" s="9"/>
      <c r="BD120" s="9"/>
      <c r="BE120" s="9"/>
      <c r="BF120" s="9"/>
      <c r="BG120" s="9"/>
      <c r="BL120" s="9"/>
      <c r="BM120" s="9"/>
      <c r="BN120" s="9"/>
      <c r="BO120" s="20"/>
      <c r="BP120" s="20"/>
      <c r="BQ120" s="9"/>
      <c r="BR120" s="9"/>
      <c r="BS120" s="21"/>
      <c r="BT120" s="9"/>
      <c r="BW120" s="26"/>
      <c r="BX120" s="2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</row>
    <row r="121" spans="1:87" ht="15">
      <c r="A121" s="13">
        <v>27851</v>
      </c>
      <c r="B121" s="12">
        <v>5654.8370000000004</v>
      </c>
      <c r="C121" s="9">
        <v>0</v>
      </c>
      <c r="D121" s="24">
        <v>8527</v>
      </c>
      <c r="E121" s="12">
        <v>32.838000000000001</v>
      </c>
      <c r="F121" s="12">
        <v>36.091999999999999</v>
      </c>
      <c r="G121" s="12">
        <v>68.245000000000005</v>
      </c>
      <c r="H121" s="34">
        <v>91.4</v>
      </c>
      <c r="I121" s="34">
        <v>1836.1</v>
      </c>
      <c r="J121" s="35">
        <v>31.710999999999999</v>
      </c>
      <c r="K121" s="35">
        <v>52.886000000000003</v>
      </c>
      <c r="L121" s="35">
        <v>70.712000000000003</v>
      </c>
      <c r="M121" s="5">
        <v>1.765136508445416</v>
      </c>
      <c r="N121" s="5">
        <v>9.1585501213965692E-2</v>
      </c>
      <c r="O121" s="5">
        <v>-1.6335922336875504</v>
      </c>
      <c r="P121" s="6">
        <v>1</v>
      </c>
      <c r="Q121" s="6">
        <v>1</v>
      </c>
      <c r="R121" s="33">
        <v>0</v>
      </c>
      <c r="S121" s="5">
        <v>0</v>
      </c>
      <c r="T121" s="26">
        <v>41</v>
      </c>
      <c r="U121">
        <v>0</v>
      </c>
      <c r="V121" s="9">
        <v>0.18183899999999997</v>
      </c>
      <c r="W121" s="38">
        <v>0</v>
      </c>
      <c r="X121" s="38">
        <v>83.3</v>
      </c>
      <c r="Y121" s="38">
        <v>89.8</v>
      </c>
      <c r="Z121" s="38">
        <v>80.2</v>
      </c>
      <c r="AA121" s="9">
        <v>-0.9</v>
      </c>
      <c r="AB121" s="9">
        <v>1</v>
      </c>
      <c r="AC121" s="38">
        <v>5.5687001014815385E-2</v>
      </c>
      <c r="AD121" s="38">
        <v>0</v>
      </c>
      <c r="AE121" s="9">
        <v>8.5109457997011084</v>
      </c>
      <c r="AF121" s="38">
        <v>1</v>
      </c>
      <c r="AG121" s="9">
        <v>1.485523722904361</v>
      </c>
      <c r="AH121" s="41">
        <v>1</v>
      </c>
      <c r="AI121" s="42">
        <v>0.8786120115504239</v>
      </c>
      <c r="AJ121" s="42">
        <v>0.107274236869775</v>
      </c>
      <c r="AK121" s="9"/>
      <c r="AM121" s="9"/>
      <c r="AN121" s="9"/>
      <c r="AO121" s="9"/>
      <c r="AP121" s="9"/>
      <c r="AQ121" s="9"/>
      <c r="AR121" s="9"/>
      <c r="AS121" s="9"/>
      <c r="AU121" s="9"/>
      <c r="AV121" s="9"/>
      <c r="AW121" s="15"/>
      <c r="AX121" s="9"/>
      <c r="BC121" s="9"/>
      <c r="BD121" s="9"/>
      <c r="BE121" s="9"/>
      <c r="BF121" s="9"/>
      <c r="BG121" s="9"/>
      <c r="BL121" s="9"/>
      <c r="BM121" s="9"/>
      <c r="BN121" s="9"/>
      <c r="BO121" s="20"/>
      <c r="BP121" s="20"/>
      <c r="BQ121" s="9"/>
      <c r="BR121" s="9"/>
      <c r="BS121" s="21"/>
      <c r="BT121" s="9"/>
      <c r="BW121" s="26"/>
      <c r="BX121" s="2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</row>
    <row r="122" spans="1:87" ht="15">
      <c r="A122" s="13">
        <v>27942</v>
      </c>
      <c r="B122" s="12">
        <v>5683.5889999999999</v>
      </c>
      <c r="C122" s="9">
        <v>0</v>
      </c>
      <c r="D122" s="24">
        <v>8659</v>
      </c>
      <c r="E122" s="12">
        <v>33.262</v>
      </c>
      <c r="F122" s="12">
        <v>36.302</v>
      </c>
      <c r="G122" s="12">
        <v>68.516999999999996</v>
      </c>
      <c r="H122" s="34">
        <v>93.5</v>
      </c>
      <c r="I122" s="34">
        <v>1873.5</v>
      </c>
      <c r="J122" s="35">
        <v>32.191000000000003</v>
      </c>
      <c r="K122" s="35">
        <v>52.982999999999997</v>
      </c>
      <c r="L122" s="35">
        <v>71.063999999999993</v>
      </c>
      <c r="M122" s="5">
        <v>0.47526462701015049</v>
      </c>
      <c r="N122" s="5">
        <v>0.26947857999172653</v>
      </c>
      <c r="O122" s="5">
        <v>-1.6813267039795112</v>
      </c>
      <c r="P122" s="6">
        <v>1</v>
      </c>
      <c r="Q122" s="6">
        <v>1</v>
      </c>
      <c r="R122" s="33">
        <v>0</v>
      </c>
      <c r="S122" s="5">
        <v>0</v>
      </c>
      <c r="T122" s="26">
        <v>31</v>
      </c>
      <c r="U122">
        <v>0</v>
      </c>
      <c r="V122" s="9">
        <v>-5.0981999999999972E-2</v>
      </c>
      <c r="W122" s="38">
        <v>0</v>
      </c>
      <c r="X122" s="38">
        <v>89.7</v>
      </c>
      <c r="Y122" s="38">
        <v>96.9</v>
      </c>
      <c r="Z122" s="38">
        <v>86.2</v>
      </c>
      <c r="AA122" s="9">
        <v>0.9</v>
      </c>
      <c r="AB122" s="9">
        <v>1</v>
      </c>
      <c r="AC122" s="38">
        <v>4.8160327089274313E-2</v>
      </c>
      <c r="AD122" s="38">
        <v>0</v>
      </c>
      <c r="AE122" s="9">
        <v>1.7067332001574176</v>
      </c>
      <c r="AF122" s="38">
        <v>1</v>
      </c>
      <c r="AG122" s="9">
        <v>2.9873039581772787E-2</v>
      </c>
      <c r="AH122" s="41">
        <v>1</v>
      </c>
      <c r="AI122" s="42">
        <v>0.88186474813857241</v>
      </c>
      <c r="AJ122" s="42">
        <v>0.26536728696326012</v>
      </c>
      <c r="AK122" s="9"/>
      <c r="AM122" s="9"/>
      <c r="AN122" s="9"/>
      <c r="AO122" s="9"/>
      <c r="AP122" s="9"/>
      <c r="AQ122" s="9"/>
      <c r="AR122" s="9"/>
      <c r="AS122" s="9"/>
      <c r="AU122" s="9"/>
      <c r="AV122" s="9"/>
      <c r="AW122" s="15"/>
      <c r="AX122" s="9"/>
      <c r="BC122" s="9"/>
      <c r="BD122" s="9"/>
      <c r="BE122" s="9"/>
      <c r="BF122" s="9"/>
      <c r="BG122" s="9"/>
      <c r="BL122" s="9"/>
      <c r="BM122" s="9"/>
      <c r="BN122" s="9"/>
      <c r="BO122" s="20"/>
      <c r="BP122" s="20"/>
      <c r="BQ122" s="9"/>
      <c r="BR122" s="9"/>
      <c r="BS122" s="21"/>
      <c r="BT122" s="9"/>
      <c r="BW122" s="26"/>
      <c r="BX122" s="2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</row>
    <row r="123" spans="1:87" ht="15">
      <c r="A123" s="13">
        <v>28034</v>
      </c>
      <c r="B123" s="12">
        <v>5726.2489999999998</v>
      </c>
      <c r="C123" s="9">
        <v>0</v>
      </c>
      <c r="D123" s="24">
        <v>8855</v>
      </c>
      <c r="E123" s="12">
        <v>33.850999999999999</v>
      </c>
      <c r="F123" s="12">
        <v>36.613999999999997</v>
      </c>
      <c r="G123" s="12">
        <v>68.884</v>
      </c>
      <c r="H123" s="34">
        <v>92.7</v>
      </c>
      <c r="I123" s="34">
        <v>1912.6</v>
      </c>
      <c r="J123" s="35">
        <v>32.698999999999998</v>
      </c>
      <c r="K123" s="35">
        <v>53.152999999999999</v>
      </c>
      <c r="L123" s="35">
        <v>71.539000000000001</v>
      </c>
      <c r="M123" s="5">
        <v>0.8056541755171055</v>
      </c>
      <c r="N123" s="5">
        <v>1.4329470273047993</v>
      </c>
      <c r="O123" s="5">
        <v>-1.8143044805644208</v>
      </c>
      <c r="P123" s="6">
        <v>1</v>
      </c>
      <c r="Q123" s="6">
        <v>1</v>
      </c>
      <c r="R123" s="33">
        <v>0</v>
      </c>
      <c r="S123" s="5">
        <v>0</v>
      </c>
      <c r="T123" s="26">
        <v>27</v>
      </c>
      <c r="U123">
        <v>0</v>
      </c>
      <c r="V123" s="9">
        <v>1.4899999999999913E-3</v>
      </c>
      <c r="W123" s="38">
        <v>0.12730069499999999</v>
      </c>
      <c r="X123" s="38">
        <v>87</v>
      </c>
      <c r="Y123" s="38">
        <v>89.4</v>
      </c>
      <c r="Z123" s="38">
        <v>86.6</v>
      </c>
      <c r="AA123" s="9">
        <v>2.1</v>
      </c>
      <c r="AB123" s="9">
        <v>1</v>
      </c>
      <c r="AC123" s="38">
        <v>3.1534435580053533E-2</v>
      </c>
      <c r="AD123" s="38">
        <v>0</v>
      </c>
      <c r="AE123" s="9">
        <v>0.48046741066984922</v>
      </c>
      <c r="AF123" s="38">
        <v>1</v>
      </c>
      <c r="AG123" s="9">
        <v>1.8515753322382977</v>
      </c>
      <c r="AH123" s="41">
        <v>1</v>
      </c>
      <c r="AI123" s="42">
        <v>0.75216315835101411</v>
      </c>
      <c r="AJ123" s="42">
        <v>1.063364390458462</v>
      </c>
      <c r="AK123" s="9"/>
      <c r="AM123" s="9"/>
      <c r="AN123" s="9"/>
      <c r="AO123" s="9"/>
      <c r="AP123" s="9"/>
      <c r="AQ123" s="9"/>
      <c r="AR123" s="9"/>
      <c r="AS123" s="9"/>
      <c r="AU123" s="9"/>
      <c r="AV123" s="9"/>
      <c r="AW123" s="15"/>
      <c r="AX123" s="9"/>
      <c r="BC123" s="9"/>
      <c r="BD123" s="9"/>
      <c r="BE123" s="9"/>
      <c r="BF123" s="9"/>
      <c r="BG123" s="9"/>
      <c r="BL123" s="9"/>
      <c r="BM123" s="9"/>
      <c r="BN123" s="9"/>
      <c r="BO123" s="20"/>
      <c r="BP123" s="20"/>
      <c r="BQ123" s="9"/>
      <c r="BR123" s="9"/>
      <c r="BS123" s="21"/>
      <c r="BT123" s="9"/>
      <c r="BW123" s="26"/>
      <c r="BX123" s="2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</row>
    <row r="124" spans="1:87" ht="15">
      <c r="A124" s="13">
        <v>28126</v>
      </c>
      <c r="B124" s="12">
        <v>5792.875</v>
      </c>
      <c r="C124" s="9">
        <v>0</v>
      </c>
      <c r="D124" s="24">
        <v>9081</v>
      </c>
      <c r="E124" s="12">
        <v>34.396000000000001</v>
      </c>
      <c r="F124" s="12">
        <v>37.228000000000002</v>
      </c>
      <c r="G124" s="12">
        <v>69.617000000000004</v>
      </c>
      <c r="H124" s="34">
        <v>96.2</v>
      </c>
      <c r="I124" s="34">
        <v>1961</v>
      </c>
      <c r="J124" s="35">
        <v>33.284999999999997</v>
      </c>
      <c r="K124" s="35">
        <v>53.475000000000001</v>
      </c>
      <c r="L124" s="35">
        <v>71.575000000000003</v>
      </c>
      <c r="M124" s="5">
        <v>1.728240032210502</v>
      </c>
      <c r="N124" s="5">
        <v>2.244831669167068</v>
      </c>
      <c r="O124" s="5">
        <v>-1.3525228618700833</v>
      </c>
      <c r="P124" s="6">
        <v>1</v>
      </c>
      <c r="Q124" s="6">
        <v>1</v>
      </c>
      <c r="R124" s="33">
        <v>0</v>
      </c>
      <c r="S124" s="5">
        <v>0</v>
      </c>
      <c r="T124" s="26">
        <v>28</v>
      </c>
      <c r="U124">
        <v>0</v>
      </c>
      <c r="V124" s="9">
        <v>-7.7570000000000139E-3</v>
      </c>
      <c r="W124" s="38">
        <v>-4.1251997999999998E-2</v>
      </c>
      <c r="X124" s="38">
        <v>87.1</v>
      </c>
      <c r="Y124" s="38">
        <v>92.3</v>
      </c>
      <c r="Z124" s="38">
        <v>84.9</v>
      </c>
      <c r="AA124" s="9">
        <v>0.2</v>
      </c>
      <c r="AB124" s="9">
        <v>1</v>
      </c>
      <c r="AC124" s="38">
        <v>4.0475096301850533E-2</v>
      </c>
      <c r="AD124" s="38">
        <v>0</v>
      </c>
      <c r="AE124" s="9">
        <v>6.6877016473983364</v>
      </c>
      <c r="AF124" s="38">
        <v>1</v>
      </c>
      <c r="AG124" s="9">
        <v>0.85031520304943342</v>
      </c>
      <c r="AH124" s="41">
        <v>1</v>
      </c>
      <c r="AI124" s="42">
        <v>0.80294543938195151</v>
      </c>
      <c r="AJ124" s="42">
        <v>0.7438819081177509</v>
      </c>
      <c r="AK124" s="9"/>
      <c r="AM124" s="9"/>
      <c r="AN124" s="9"/>
      <c r="AO124" s="9"/>
      <c r="AP124" s="9"/>
      <c r="AQ124" s="9"/>
      <c r="AR124" s="9"/>
      <c r="AS124" s="9"/>
      <c r="AU124" s="9"/>
      <c r="AV124" s="9"/>
      <c r="AW124" s="15"/>
      <c r="AX124" s="9"/>
      <c r="BC124" s="9"/>
      <c r="BD124" s="9"/>
      <c r="BE124" s="9"/>
      <c r="BF124" s="9"/>
      <c r="BG124" s="9"/>
      <c r="BL124" s="9"/>
      <c r="BM124" s="9"/>
      <c r="BN124" s="9"/>
      <c r="BO124" s="20"/>
      <c r="BP124" s="20"/>
      <c r="BQ124" s="9"/>
      <c r="BR124" s="9"/>
      <c r="BS124" s="21"/>
      <c r="BT124" s="9"/>
      <c r="BW124" s="26"/>
      <c r="BX124" s="2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</row>
    <row r="125" spans="1:87" ht="15">
      <c r="A125" s="13">
        <v>28216</v>
      </c>
      <c r="B125" s="12">
        <v>5906.5680000000002</v>
      </c>
      <c r="C125" s="9">
        <v>0</v>
      </c>
      <c r="D125" s="24">
        <v>9366</v>
      </c>
      <c r="E125" s="12">
        <v>34.878999999999998</v>
      </c>
      <c r="F125" s="12">
        <v>38.100999999999999</v>
      </c>
      <c r="G125" s="12">
        <v>70.944999999999993</v>
      </c>
      <c r="H125" s="34">
        <v>111.3</v>
      </c>
      <c r="I125" s="34">
        <v>2039.3</v>
      </c>
      <c r="J125" s="35">
        <v>33.854999999999997</v>
      </c>
      <c r="K125" s="35">
        <v>53.704999999999998</v>
      </c>
      <c r="L125" s="35">
        <v>71.778999999999996</v>
      </c>
      <c r="M125" s="5">
        <v>3.8160782648505358</v>
      </c>
      <c r="N125" s="5">
        <v>3.4851190575057069</v>
      </c>
      <c r="O125" s="5">
        <v>-1.3151952541455616</v>
      </c>
      <c r="P125" s="6">
        <v>1</v>
      </c>
      <c r="Q125" s="6">
        <v>1</v>
      </c>
      <c r="R125" s="33">
        <v>0</v>
      </c>
      <c r="S125" s="5">
        <v>0</v>
      </c>
      <c r="T125" s="26">
        <v>28</v>
      </c>
      <c r="U125">
        <v>0</v>
      </c>
      <c r="V125" s="9">
        <v>0.10355600000000009</v>
      </c>
      <c r="W125" s="38">
        <v>0</v>
      </c>
      <c r="X125" s="38">
        <v>90.2</v>
      </c>
      <c r="Y125" s="38">
        <v>101.1</v>
      </c>
      <c r="Z125" s="38">
        <v>84.3</v>
      </c>
      <c r="AA125" s="9">
        <v>-0.5</v>
      </c>
      <c r="AB125" s="9">
        <v>1</v>
      </c>
      <c r="AC125" s="38">
        <v>1.9678588036631028E-2</v>
      </c>
      <c r="AD125" s="38">
        <v>0</v>
      </c>
      <c r="AE125" s="9">
        <v>1.8070531409030588</v>
      </c>
      <c r="AF125" s="38">
        <v>1</v>
      </c>
      <c r="AG125" s="9">
        <v>0.5669428696031531</v>
      </c>
      <c r="AH125" s="41">
        <v>1</v>
      </c>
      <c r="AI125" s="42">
        <v>2.0079529283636099</v>
      </c>
      <c r="AJ125" s="42">
        <v>0.91051052347549788</v>
      </c>
      <c r="AK125" s="9"/>
      <c r="AM125" s="9"/>
      <c r="AN125" s="9"/>
      <c r="AO125" s="9"/>
      <c r="AP125" s="9"/>
      <c r="AQ125" s="9"/>
      <c r="AR125" s="9"/>
      <c r="AS125" s="9"/>
      <c r="AU125" s="9"/>
      <c r="AV125" s="9"/>
      <c r="AW125" s="15"/>
      <c r="AX125" s="9"/>
      <c r="BC125" s="9"/>
      <c r="BD125" s="9"/>
      <c r="BE125" s="9"/>
      <c r="BF125" s="9"/>
      <c r="BG125" s="9"/>
      <c r="BL125" s="9"/>
      <c r="BM125" s="9"/>
      <c r="BN125" s="9"/>
      <c r="BO125" s="20"/>
      <c r="BP125" s="20"/>
      <c r="BQ125" s="9"/>
      <c r="BR125" s="9"/>
      <c r="BS125" s="21"/>
      <c r="BT125" s="9"/>
      <c r="BW125" s="26"/>
      <c r="BX125" s="2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</row>
    <row r="126" spans="1:87" ht="15">
      <c r="A126" s="13">
        <v>28307</v>
      </c>
      <c r="B126" s="12">
        <v>6011.0640000000003</v>
      </c>
      <c r="C126" s="9">
        <v>0</v>
      </c>
      <c r="D126" s="24">
        <v>9622</v>
      </c>
      <c r="E126" s="12">
        <v>35.308</v>
      </c>
      <c r="F126" s="12">
        <v>38.892000000000003</v>
      </c>
      <c r="G126" s="12">
        <v>71.704999999999998</v>
      </c>
      <c r="H126" s="34">
        <v>123.1</v>
      </c>
      <c r="I126" s="34">
        <v>2104.1</v>
      </c>
      <c r="J126" s="35">
        <v>34.366</v>
      </c>
      <c r="K126" s="35">
        <v>54.238999999999997</v>
      </c>
      <c r="L126" s="35">
        <v>72.179000000000002</v>
      </c>
      <c r="M126" s="5">
        <v>5.0057681224362529</v>
      </c>
      <c r="N126" s="5">
        <v>3.48457731179015</v>
      </c>
      <c r="O126" s="5">
        <v>-1.8307455020857049</v>
      </c>
      <c r="P126" s="6">
        <v>1</v>
      </c>
      <c r="Q126" s="6">
        <v>1</v>
      </c>
      <c r="R126" s="33">
        <v>0</v>
      </c>
      <c r="S126" s="5">
        <v>0</v>
      </c>
      <c r="T126" s="26">
        <v>13</v>
      </c>
      <c r="U126">
        <v>-2.4934614956583947E-3</v>
      </c>
      <c r="V126" s="9">
        <v>-6.674800000000003E-2</v>
      </c>
      <c r="W126" s="38">
        <v>-0.338687827</v>
      </c>
      <c r="X126" s="38">
        <v>89</v>
      </c>
      <c r="Y126" s="38">
        <v>101.5</v>
      </c>
      <c r="Z126" s="38">
        <v>82.2</v>
      </c>
      <c r="AA126" s="9">
        <v>0.8</v>
      </c>
      <c r="AB126" s="9">
        <v>1</v>
      </c>
      <c r="AC126" s="38">
        <v>4.1488560271604413E-2</v>
      </c>
      <c r="AD126" s="38">
        <v>0</v>
      </c>
      <c r="AE126" s="9">
        <v>1.9211016819814297</v>
      </c>
      <c r="AF126" s="38">
        <v>1</v>
      </c>
      <c r="AG126" s="9">
        <v>-2.891008962129149E-2</v>
      </c>
      <c r="AH126" s="41">
        <v>1</v>
      </c>
      <c r="AI126" s="42">
        <v>0.86511282550582658</v>
      </c>
      <c r="AJ126" s="42">
        <v>0.50926001787617137</v>
      </c>
      <c r="AK126" s="9"/>
      <c r="AM126" s="9"/>
      <c r="AN126" s="9"/>
      <c r="AO126" s="9"/>
      <c r="AP126" s="9"/>
      <c r="AQ126" s="9"/>
      <c r="AR126" s="9"/>
      <c r="AS126" s="9"/>
      <c r="AU126" s="9"/>
      <c r="AV126" s="9"/>
      <c r="AW126" s="15"/>
      <c r="AX126" s="9"/>
      <c r="BC126" s="9"/>
      <c r="BD126" s="9"/>
      <c r="BE126" s="9"/>
      <c r="BF126" s="9"/>
      <c r="BG126" s="9"/>
      <c r="BL126" s="9"/>
      <c r="BM126" s="9"/>
      <c r="BN126" s="9"/>
      <c r="BO126" s="20"/>
      <c r="BP126" s="20"/>
      <c r="BQ126" s="9"/>
      <c r="BR126" s="9"/>
      <c r="BS126" s="21"/>
      <c r="BT126" s="9"/>
      <c r="BW126" s="26"/>
      <c r="BX126" s="2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</row>
    <row r="127" spans="1:87" ht="15">
      <c r="A127" s="13">
        <v>28399</v>
      </c>
      <c r="B127" s="12">
        <v>6011.6949999999997</v>
      </c>
      <c r="C127" s="9">
        <v>0</v>
      </c>
      <c r="D127" s="24">
        <v>9804</v>
      </c>
      <c r="E127" s="12">
        <v>36.075000000000003</v>
      </c>
      <c r="F127" s="12">
        <v>38.767000000000003</v>
      </c>
      <c r="G127" s="12">
        <v>72.405000000000001</v>
      </c>
      <c r="H127" s="34">
        <v>118.3</v>
      </c>
      <c r="I127" s="34">
        <v>2162.4</v>
      </c>
      <c r="J127" s="35">
        <v>34.857999999999997</v>
      </c>
      <c r="K127" s="35">
        <v>53.542000000000002</v>
      </c>
      <c r="L127" s="35">
        <v>72.364000000000004</v>
      </c>
      <c r="M127" s="5">
        <v>-3.1321350172447109</v>
      </c>
      <c r="N127" s="5">
        <v>-5.608762953692457</v>
      </c>
      <c r="O127" s="5">
        <v>-1.8265358398262905</v>
      </c>
      <c r="P127" s="6">
        <v>1</v>
      </c>
      <c r="Q127" s="6">
        <v>1</v>
      </c>
      <c r="R127" s="33">
        <v>0</v>
      </c>
      <c r="S127" s="5">
        <v>0</v>
      </c>
      <c r="T127" s="26">
        <v>12</v>
      </c>
      <c r="U127">
        <v>0</v>
      </c>
      <c r="V127" s="9">
        <v>5.0397999999999943E-2</v>
      </c>
      <c r="W127" s="38">
        <v>0</v>
      </c>
      <c r="X127" s="38">
        <v>84.4</v>
      </c>
      <c r="Y127" s="38">
        <v>98.3</v>
      </c>
      <c r="Z127" s="38">
        <v>76.599999999999994</v>
      </c>
      <c r="AA127" s="9">
        <v>1.4</v>
      </c>
      <c r="AB127" s="9">
        <v>1</v>
      </c>
      <c r="AC127" s="38">
        <v>3.0041911949081124E-2</v>
      </c>
      <c r="AD127" s="38">
        <v>0</v>
      </c>
      <c r="AE127" s="9">
        <v>6.5543275364592146</v>
      </c>
      <c r="AF127" s="38">
        <v>1</v>
      </c>
      <c r="AG127" s="9">
        <v>1.7206477732793388</v>
      </c>
      <c r="AH127" s="41">
        <v>1</v>
      </c>
      <c r="AI127" s="42">
        <v>1.269432451019934</v>
      </c>
      <c r="AJ127" s="42">
        <v>1.1198653086365611</v>
      </c>
      <c r="AK127" s="9"/>
      <c r="AM127" s="9"/>
      <c r="AN127" s="9"/>
      <c r="AO127" s="9"/>
      <c r="AP127" s="9"/>
      <c r="AQ127" s="9"/>
      <c r="AR127" s="9"/>
      <c r="AS127" s="9"/>
      <c r="AU127" s="9"/>
      <c r="AV127" s="9"/>
      <c r="AW127" s="15"/>
      <c r="AX127" s="9"/>
      <c r="BC127" s="9"/>
      <c r="BD127" s="9"/>
      <c r="BE127" s="9"/>
      <c r="BF127" s="9"/>
      <c r="BG127" s="9"/>
      <c r="BL127" s="9"/>
      <c r="BM127" s="9"/>
      <c r="BN127" s="9"/>
      <c r="BO127" s="20"/>
      <c r="BP127" s="20"/>
      <c r="BQ127" s="9"/>
      <c r="BR127" s="9"/>
      <c r="BS127" s="21"/>
      <c r="BT127" s="9"/>
      <c r="BW127" s="26"/>
      <c r="BX127" s="2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</row>
    <row r="128" spans="1:87" ht="15">
      <c r="A128" s="13">
        <v>28491</v>
      </c>
      <c r="B128" s="12">
        <v>6032.6130000000003</v>
      </c>
      <c r="C128" s="9">
        <v>0</v>
      </c>
      <c r="D128" s="24">
        <v>9962</v>
      </c>
      <c r="E128" s="12">
        <v>36.612000000000002</v>
      </c>
      <c r="F128" s="12">
        <v>38.975999999999999</v>
      </c>
      <c r="G128" s="12">
        <v>72.739000000000004</v>
      </c>
      <c r="H128" s="34">
        <v>115</v>
      </c>
      <c r="I128" s="34">
        <v>2208.1999999999998</v>
      </c>
      <c r="J128" s="35">
        <v>35.439</v>
      </c>
      <c r="K128" s="35">
        <v>53.582999999999998</v>
      </c>
      <c r="L128" s="35">
        <v>73.67</v>
      </c>
      <c r="M128" s="5">
        <v>-1.5982423753578825</v>
      </c>
      <c r="N128" s="5">
        <v>-4.3521527522261003</v>
      </c>
      <c r="O128" s="5">
        <v>-1.6573541926123667</v>
      </c>
      <c r="P128" s="6">
        <v>1</v>
      </c>
      <c r="Q128" s="6">
        <v>1</v>
      </c>
      <c r="R128" s="33">
        <v>0</v>
      </c>
      <c r="S128" s="5">
        <v>0</v>
      </c>
      <c r="T128" s="26">
        <v>10</v>
      </c>
      <c r="U128">
        <v>0</v>
      </c>
      <c r="V128" s="9">
        <v>6.4404000000000017E-2</v>
      </c>
      <c r="W128" s="38">
        <v>0.13488372100000001</v>
      </c>
      <c r="X128" s="38">
        <v>82.6</v>
      </c>
      <c r="Y128" s="38">
        <v>95</v>
      </c>
      <c r="Z128" s="38">
        <v>74.599999999999994</v>
      </c>
      <c r="AA128" s="9">
        <v>0.5</v>
      </c>
      <c r="AB128" s="9">
        <v>1</v>
      </c>
      <c r="AC128" s="38">
        <v>5.1222985045567659E-2</v>
      </c>
      <c r="AD128" s="38">
        <v>0</v>
      </c>
      <c r="AE128" s="9">
        <v>4.5880210749325023</v>
      </c>
      <c r="AF128" s="38">
        <v>1</v>
      </c>
      <c r="AG128" s="9">
        <v>0.41222459132907829</v>
      </c>
      <c r="AH128" s="41">
        <v>1</v>
      </c>
      <c r="AI128" s="42">
        <v>0.52614062629262726</v>
      </c>
      <c r="AJ128" s="42">
        <v>0.25081370770855771</v>
      </c>
      <c r="AK128" s="9"/>
      <c r="AM128" s="9"/>
      <c r="AN128" s="9"/>
      <c r="AO128" s="9"/>
      <c r="AP128" s="9"/>
      <c r="AQ128" s="9"/>
      <c r="AR128" s="9"/>
      <c r="AS128" s="9"/>
      <c r="AU128" s="9"/>
      <c r="AV128" s="9"/>
      <c r="AW128" s="15"/>
      <c r="AX128" s="9"/>
      <c r="BC128" s="9"/>
      <c r="BD128" s="9"/>
      <c r="BE128" s="9"/>
      <c r="BF128" s="9"/>
      <c r="BG128" s="9"/>
      <c r="BL128" s="9"/>
      <c r="BM128" s="9"/>
      <c r="BN128" s="9"/>
      <c r="BO128" s="20"/>
      <c r="BP128" s="20"/>
      <c r="BQ128" s="9"/>
      <c r="BR128" s="9"/>
      <c r="BS128" s="21"/>
      <c r="BT128" s="9"/>
      <c r="BW128" s="26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</row>
    <row r="129" spans="1:87" ht="15">
      <c r="A129" s="13">
        <v>28581</v>
      </c>
      <c r="B129" s="12">
        <v>6267.1629999999996</v>
      </c>
      <c r="C129" s="9">
        <v>0</v>
      </c>
      <c r="D129" s="24">
        <v>10512</v>
      </c>
      <c r="E129" s="12">
        <v>37.283000000000001</v>
      </c>
      <c r="F129" s="12">
        <v>40.899000000000001</v>
      </c>
      <c r="G129" s="12">
        <v>74.867000000000004</v>
      </c>
      <c r="H129" s="34">
        <v>133.4</v>
      </c>
      <c r="I129" s="34">
        <v>2315.3000000000002</v>
      </c>
      <c r="J129" s="35">
        <v>36.168999999999997</v>
      </c>
      <c r="K129" s="35">
        <v>54.628999999999998</v>
      </c>
      <c r="L129" s="35">
        <v>72.866</v>
      </c>
      <c r="M129" s="5">
        <v>7.6854598101358356</v>
      </c>
      <c r="N129" s="5">
        <v>5.4696826936647938</v>
      </c>
      <c r="O129" s="5">
        <v>-1.4864406097605305</v>
      </c>
      <c r="P129" s="6">
        <v>1</v>
      </c>
      <c r="Q129" s="6">
        <v>1</v>
      </c>
      <c r="R129" s="33">
        <v>1</v>
      </c>
      <c r="S129" s="5">
        <v>0</v>
      </c>
      <c r="T129" s="26">
        <v>9</v>
      </c>
      <c r="U129">
        <v>0</v>
      </c>
      <c r="V129" s="9">
        <v>0.175763</v>
      </c>
      <c r="W129" s="38">
        <v>0</v>
      </c>
      <c r="X129" s="38">
        <v>81.8</v>
      </c>
      <c r="Y129" s="38">
        <v>98.2</v>
      </c>
      <c r="Z129" s="38">
        <v>71.3</v>
      </c>
      <c r="AA129" s="9">
        <v>1</v>
      </c>
      <c r="AB129" s="9">
        <v>1</v>
      </c>
      <c r="AC129" s="38">
        <v>4.2425556510695017E-2</v>
      </c>
      <c r="AD129" s="38">
        <v>0</v>
      </c>
      <c r="AE129" s="9">
        <v>3.0540216808966791</v>
      </c>
      <c r="AF129" s="38">
        <v>1</v>
      </c>
      <c r="AG129" s="9">
        <v>0.39637599093997267</v>
      </c>
      <c r="AH129" s="41">
        <v>1</v>
      </c>
      <c r="AI129" s="42">
        <v>1.209550140134269</v>
      </c>
      <c r="AJ129" s="42">
        <v>1.982880920713247</v>
      </c>
      <c r="AK129" s="9"/>
      <c r="AM129" s="9"/>
      <c r="AN129" s="9"/>
      <c r="AO129" s="9"/>
      <c r="AP129" s="9"/>
      <c r="AQ129" s="9"/>
      <c r="AR129" s="9"/>
      <c r="AS129" s="9"/>
      <c r="AU129" s="9"/>
      <c r="AV129" s="9"/>
      <c r="AW129" s="15"/>
      <c r="AX129" s="9"/>
      <c r="BC129" s="9"/>
      <c r="BD129" s="9"/>
      <c r="BE129" s="9"/>
      <c r="BF129" s="9"/>
      <c r="BG129" s="9"/>
      <c r="BL129" s="9"/>
      <c r="BM129" s="9"/>
      <c r="BN129" s="9"/>
      <c r="BO129" s="20"/>
      <c r="BP129" s="20"/>
      <c r="BQ129" s="9"/>
      <c r="BR129" s="9"/>
      <c r="BS129" s="21"/>
      <c r="BT129" s="9"/>
      <c r="BW129" s="26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</row>
    <row r="130" spans="1:87" ht="15">
      <c r="A130" s="13">
        <v>28672</v>
      </c>
      <c r="B130" s="12">
        <v>6328.4520000000002</v>
      </c>
      <c r="C130" s="9">
        <v>0</v>
      </c>
      <c r="D130" s="24">
        <v>10760</v>
      </c>
      <c r="E130" s="12">
        <v>37.905999999999999</v>
      </c>
      <c r="F130" s="12">
        <v>41.241</v>
      </c>
      <c r="G130" s="12">
        <v>75.497</v>
      </c>
      <c r="H130" s="34">
        <v>136.30000000000001</v>
      </c>
      <c r="I130" s="34">
        <v>2369.4</v>
      </c>
      <c r="J130" s="35">
        <v>36.805999999999997</v>
      </c>
      <c r="K130" s="35">
        <v>54.625999999999998</v>
      </c>
      <c r="L130" s="35">
        <v>72.682000000000002</v>
      </c>
      <c r="M130" s="5">
        <v>-0.38869448317729943</v>
      </c>
      <c r="N130" s="5">
        <v>-1.3682279734398402</v>
      </c>
      <c r="O130" s="5">
        <v>-1.2397947119182906</v>
      </c>
      <c r="P130" s="6">
        <v>1</v>
      </c>
      <c r="Q130" s="6">
        <v>1</v>
      </c>
      <c r="R130" s="33">
        <v>1</v>
      </c>
      <c r="S130" s="5">
        <v>0</v>
      </c>
      <c r="T130" s="26">
        <v>3</v>
      </c>
      <c r="U130">
        <v>0</v>
      </c>
      <c r="V130" s="9">
        <v>-3.6734000000000044E-2</v>
      </c>
      <c r="W130" s="38">
        <v>0</v>
      </c>
      <c r="X130" s="38">
        <v>80</v>
      </c>
      <c r="Y130" s="38">
        <v>97</v>
      </c>
      <c r="Z130" s="38">
        <v>69.099999999999994</v>
      </c>
      <c r="AA130" s="9">
        <v>1.1000000000000001</v>
      </c>
      <c r="AB130" s="9">
        <v>1</v>
      </c>
      <c r="AC130" s="38">
        <v>3.1564819705226066E-2</v>
      </c>
      <c r="AD130" s="38">
        <v>0</v>
      </c>
      <c r="AE130" s="9">
        <v>3.4405636882542279</v>
      </c>
      <c r="AF130" s="38">
        <v>1</v>
      </c>
      <c r="AG130" s="9">
        <v>1.3113367174280626</v>
      </c>
      <c r="AH130" s="41">
        <v>1</v>
      </c>
      <c r="AI130" s="42">
        <v>0.51676233049760789</v>
      </c>
      <c r="AJ130" s="42">
        <v>0.105300986606567</v>
      </c>
      <c r="AK130" s="9"/>
      <c r="AM130" s="9"/>
      <c r="AN130" s="9"/>
      <c r="AO130" s="9"/>
      <c r="AP130" s="9"/>
      <c r="AQ130" s="9"/>
      <c r="AR130" s="9"/>
      <c r="AS130" s="9"/>
      <c r="AU130" s="9"/>
      <c r="AV130" s="9"/>
      <c r="AW130" s="15"/>
      <c r="AX130" s="9"/>
      <c r="BC130" s="9"/>
      <c r="BD130" s="9"/>
      <c r="BE130" s="9"/>
      <c r="BF130" s="9"/>
      <c r="BG130" s="9"/>
      <c r="BL130" s="9"/>
      <c r="BM130" s="9"/>
      <c r="BN130" s="9"/>
      <c r="BO130" s="20"/>
      <c r="BP130" s="20"/>
      <c r="BQ130" s="9"/>
      <c r="BR130" s="9"/>
      <c r="BS130" s="21"/>
      <c r="BT130" s="9"/>
      <c r="BW130" s="26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</row>
    <row r="131" spans="1:87" ht="15">
      <c r="A131" s="13">
        <v>28764</v>
      </c>
      <c r="B131" s="12">
        <v>6413.33</v>
      </c>
      <c r="C131" s="9">
        <v>0</v>
      </c>
      <c r="D131" s="24">
        <v>11102</v>
      </c>
      <c r="E131" s="12">
        <v>38.703000000000003</v>
      </c>
      <c r="F131" s="12">
        <v>42.005000000000003</v>
      </c>
      <c r="G131" s="12">
        <v>76.412000000000006</v>
      </c>
      <c r="H131" s="34">
        <v>138.6</v>
      </c>
      <c r="I131" s="34">
        <v>2440.8000000000002</v>
      </c>
      <c r="J131" s="35">
        <v>37.500999999999998</v>
      </c>
      <c r="K131" s="35">
        <v>54.972000000000001</v>
      </c>
      <c r="L131" s="35">
        <v>72.935000000000002</v>
      </c>
      <c r="M131" s="5">
        <v>0.30628190596844412</v>
      </c>
      <c r="N131" s="5">
        <v>0.92211263474223726</v>
      </c>
      <c r="O131" s="5">
        <v>-1.1566470646670928</v>
      </c>
      <c r="P131" s="6">
        <v>1</v>
      </c>
      <c r="Q131" s="6">
        <v>1</v>
      </c>
      <c r="R131" s="33">
        <v>1</v>
      </c>
      <c r="S131" s="5">
        <v>-0.70550000000000002</v>
      </c>
      <c r="T131" s="26">
        <v>-8</v>
      </c>
      <c r="U131">
        <v>0</v>
      </c>
      <c r="V131" s="9">
        <v>1.4610000000001566E-3</v>
      </c>
      <c r="W131" s="38">
        <v>0</v>
      </c>
      <c r="X131" s="38">
        <v>73.8</v>
      </c>
      <c r="Y131" s="38">
        <v>91.2</v>
      </c>
      <c r="Z131" s="38">
        <v>62.7</v>
      </c>
      <c r="AA131" s="9">
        <v>0.8</v>
      </c>
      <c r="AB131" s="9">
        <v>1</v>
      </c>
      <c r="AC131" s="38">
        <v>3.8303488759275472E-2</v>
      </c>
      <c r="AD131" s="38">
        <v>0</v>
      </c>
      <c r="AE131" s="9">
        <v>3.7324247070213534</v>
      </c>
      <c r="AF131" s="38">
        <v>1</v>
      </c>
      <c r="AG131" s="9">
        <v>1.1691022964509585</v>
      </c>
      <c r="AH131" s="41">
        <v>1</v>
      </c>
      <c r="AI131" s="42">
        <v>0.70882321032226769</v>
      </c>
      <c r="AJ131" s="42">
        <v>1.0119188873019671</v>
      </c>
      <c r="AK131" s="9"/>
      <c r="AM131" s="9"/>
      <c r="AN131" s="9"/>
      <c r="AO131" s="9"/>
      <c r="AP131" s="9"/>
      <c r="AQ131" s="9"/>
      <c r="AR131" s="9"/>
      <c r="AS131" s="9"/>
      <c r="AU131" s="9"/>
      <c r="AV131" s="9"/>
      <c r="AW131" s="15"/>
      <c r="AX131" s="9"/>
      <c r="BC131" s="9"/>
      <c r="BD131" s="9"/>
      <c r="BE131" s="9"/>
      <c r="BF131" s="9"/>
      <c r="BG131" s="9"/>
      <c r="BL131" s="9"/>
      <c r="BM131" s="9"/>
      <c r="BN131" s="9"/>
      <c r="BO131" s="20"/>
      <c r="BP131" s="20"/>
      <c r="BQ131" s="9"/>
      <c r="BR131" s="9"/>
      <c r="BS131" s="21"/>
      <c r="BT131" s="9"/>
      <c r="BW131" s="26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</row>
    <row r="132" spans="1:87" ht="15">
      <c r="A132" s="13">
        <v>28856</v>
      </c>
      <c r="B132" s="12">
        <v>6426.0770000000002</v>
      </c>
      <c r="C132" s="9">
        <v>0</v>
      </c>
      <c r="D132" s="24">
        <v>11294</v>
      </c>
      <c r="E132" s="12">
        <v>39.395000000000003</v>
      </c>
      <c r="F132" s="12">
        <v>41.927</v>
      </c>
      <c r="G132" s="12">
        <v>76.954999999999998</v>
      </c>
      <c r="H132" s="34">
        <v>131.80000000000001</v>
      </c>
      <c r="I132" s="34">
        <v>2507.6999999999998</v>
      </c>
      <c r="J132" s="35">
        <v>38.204000000000001</v>
      </c>
      <c r="K132" s="35">
        <v>54.481999999999999</v>
      </c>
      <c r="L132" s="35">
        <v>73.438999999999993</v>
      </c>
      <c r="M132" s="5">
        <v>-0.76515607482561099</v>
      </c>
      <c r="N132" s="5">
        <v>1.3533483720731765</v>
      </c>
      <c r="O132" s="5">
        <v>-0.71418104579846464</v>
      </c>
      <c r="P132" s="6">
        <v>1</v>
      </c>
      <c r="Q132" s="6">
        <v>1</v>
      </c>
      <c r="R132" s="33">
        <v>1</v>
      </c>
      <c r="S132" s="5">
        <v>-4.7439999999999998</v>
      </c>
      <c r="T132" s="26">
        <v>0</v>
      </c>
      <c r="U132">
        <v>4.5528897247994428E-3</v>
      </c>
      <c r="V132" s="9">
        <v>-9.1363000000000083E-2</v>
      </c>
      <c r="W132" s="38">
        <v>-0.409836066</v>
      </c>
      <c r="X132" s="38">
        <v>71.900000000000006</v>
      </c>
      <c r="Y132" s="38">
        <v>92.3</v>
      </c>
      <c r="Z132" s="38">
        <v>58.9</v>
      </c>
      <c r="AA132" s="9">
        <v>-0.8</v>
      </c>
      <c r="AB132" s="9">
        <v>1</v>
      </c>
      <c r="AC132" s="38">
        <v>3.9812092378719965E-2</v>
      </c>
      <c r="AD132" s="38">
        <v>0</v>
      </c>
      <c r="AE132" s="9">
        <v>3.9299858956449718</v>
      </c>
      <c r="AF132" s="38">
        <v>1</v>
      </c>
      <c r="AG132" s="9">
        <v>0.12381345439538904</v>
      </c>
      <c r="AH132" s="41">
        <v>1</v>
      </c>
      <c r="AI132" s="42">
        <v>0.5925307520852876</v>
      </c>
      <c r="AJ132" s="42">
        <v>0.64822925986119828</v>
      </c>
      <c r="AK132" s="9"/>
      <c r="AM132" s="9"/>
      <c r="AN132" s="9"/>
      <c r="AO132" s="9"/>
      <c r="AP132" s="9"/>
      <c r="AQ132" s="9"/>
      <c r="AR132" s="9"/>
      <c r="AS132" s="9"/>
      <c r="AU132" s="9"/>
      <c r="AV132" s="9"/>
      <c r="AW132" s="15"/>
      <c r="AX132" s="9"/>
      <c r="BC132" s="9"/>
      <c r="BD132" s="9"/>
      <c r="BE132" s="9"/>
      <c r="BF132" s="9"/>
      <c r="BG132" s="9"/>
      <c r="BL132" s="9"/>
      <c r="BM132" s="9"/>
      <c r="BN132" s="9"/>
      <c r="BO132" s="20"/>
      <c r="BP132" s="20"/>
      <c r="BQ132" s="9"/>
      <c r="BR132" s="9"/>
      <c r="BS132" s="21"/>
      <c r="BT132" s="9"/>
      <c r="BW132" s="26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</row>
    <row r="133" spans="1:87" ht="15">
      <c r="A133" s="13">
        <v>28946</v>
      </c>
      <c r="B133" s="12">
        <v>6433.86</v>
      </c>
      <c r="C133" s="9">
        <v>0</v>
      </c>
      <c r="D133" s="24">
        <v>11551</v>
      </c>
      <c r="E133" s="12">
        <v>40.347999999999999</v>
      </c>
      <c r="F133" s="12">
        <v>41.981000000000002</v>
      </c>
      <c r="G133" s="12">
        <v>77.266999999999996</v>
      </c>
      <c r="H133" s="34">
        <v>128.4</v>
      </c>
      <c r="I133" s="34">
        <v>2554.6</v>
      </c>
      <c r="J133" s="35">
        <v>39.244999999999997</v>
      </c>
      <c r="K133" s="35">
        <v>54.332000000000001</v>
      </c>
      <c r="L133" s="35">
        <v>73.129000000000005</v>
      </c>
      <c r="M133" s="5">
        <v>-4.5985477073657757</v>
      </c>
      <c r="N133" s="5">
        <v>-1.4491315441728498</v>
      </c>
      <c r="O133" s="5">
        <v>-0.49715494577291197</v>
      </c>
      <c r="P133" s="6">
        <v>1</v>
      </c>
      <c r="Q133" s="6">
        <v>1</v>
      </c>
      <c r="R133" s="33">
        <v>1</v>
      </c>
      <c r="S133" s="5">
        <v>2.8843000000000001</v>
      </c>
      <c r="T133" s="26">
        <v>-4</v>
      </c>
      <c r="U133">
        <v>0</v>
      </c>
      <c r="V133" s="9">
        <v>-3.7488999999999995E-2</v>
      </c>
      <c r="W133" s="38">
        <v>0</v>
      </c>
      <c r="X133" s="38">
        <v>66.7</v>
      </c>
      <c r="Y133" s="38">
        <v>87.7</v>
      </c>
      <c r="Z133" s="38">
        <v>53.3</v>
      </c>
      <c r="AA133" s="9">
        <v>4.3</v>
      </c>
      <c r="AB133" s="9">
        <v>1</v>
      </c>
      <c r="AC133" s="38">
        <v>1.8912081928933899E-2</v>
      </c>
      <c r="AD133" s="38">
        <v>0</v>
      </c>
      <c r="AE133" s="9">
        <v>5.323247840454659</v>
      </c>
      <c r="AF133" s="38">
        <v>1</v>
      </c>
      <c r="AG133" s="9">
        <v>3.1052486946963427</v>
      </c>
      <c r="AH133" s="41">
        <v>1</v>
      </c>
      <c r="AI133" s="42">
        <v>-1.05868845346199</v>
      </c>
      <c r="AJ133" s="42">
        <v>-0.7052338950134196</v>
      </c>
      <c r="AK133" s="9"/>
      <c r="AM133" s="9"/>
      <c r="AN133" s="9"/>
      <c r="AO133" s="9"/>
      <c r="AP133" s="9"/>
      <c r="AQ133" s="9"/>
      <c r="AR133" s="9"/>
      <c r="AS133" s="9"/>
      <c r="AU133" s="9"/>
      <c r="AV133" s="9"/>
      <c r="AW133" s="15"/>
      <c r="AX133" s="9"/>
      <c r="BC133" s="9"/>
      <c r="BD133" s="9"/>
      <c r="BE133" s="9"/>
      <c r="BF133" s="9"/>
      <c r="BG133" s="9"/>
      <c r="BL133" s="9"/>
      <c r="BM133" s="9"/>
      <c r="BN133" s="9"/>
      <c r="BO133" s="20"/>
      <c r="BP133" s="20"/>
      <c r="BQ133" s="9"/>
      <c r="BR133" s="9"/>
      <c r="BS133" s="21"/>
      <c r="BT133" s="9"/>
      <c r="BW133" s="26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</row>
    <row r="134" spans="1:87" ht="15">
      <c r="A134" s="13">
        <v>29037</v>
      </c>
      <c r="B134" s="12">
        <v>6480.0630000000001</v>
      </c>
      <c r="C134" s="9">
        <v>0</v>
      </c>
      <c r="D134" s="24">
        <v>11846</v>
      </c>
      <c r="E134" s="12">
        <v>41.209000000000003</v>
      </c>
      <c r="F134" s="12">
        <v>42.289000000000001</v>
      </c>
      <c r="G134" s="12">
        <v>77.914000000000001</v>
      </c>
      <c r="H134" s="34">
        <v>120.5</v>
      </c>
      <c r="I134" s="34">
        <v>2612</v>
      </c>
      <c r="J134" s="35">
        <v>40.216000000000001</v>
      </c>
      <c r="K134" s="35">
        <v>54.276000000000003</v>
      </c>
      <c r="L134" s="35">
        <v>72.866</v>
      </c>
      <c r="M134" s="5">
        <v>-1.5552286846844185</v>
      </c>
      <c r="N134" s="5">
        <v>1.7990730881283299</v>
      </c>
      <c r="O134" s="5">
        <v>-0.67664499498337105</v>
      </c>
      <c r="P134" s="6">
        <v>1</v>
      </c>
      <c r="Q134" s="6">
        <v>1</v>
      </c>
      <c r="R134" s="33">
        <v>1</v>
      </c>
      <c r="S134" s="5">
        <v>6.1199999999999997E-2</v>
      </c>
      <c r="T134" s="26">
        <v>-7</v>
      </c>
      <c r="U134">
        <v>0</v>
      </c>
      <c r="V134" s="9">
        <v>9.1613999999999973E-2</v>
      </c>
      <c r="W134" s="38">
        <v>0</v>
      </c>
      <c r="X134" s="38">
        <v>63.7</v>
      </c>
      <c r="Y134" s="38">
        <v>87</v>
      </c>
      <c r="Z134" s="38">
        <v>48.8</v>
      </c>
      <c r="AA134" s="9">
        <v>-2.2999999999999998</v>
      </c>
      <c r="AB134" s="38">
        <v>0</v>
      </c>
      <c r="AC134" s="38">
        <v>4.9181916748598065E-2</v>
      </c>
      <c r="AD134" s="38">
        <v>0</v>
      </c>
      <c r="AE134" s="9">
        <v>2.8145005674692136</v>
      </c>
      <c r="AF134" s="38">
        <v>1</v>
      </c>
      <c r="AG134" s="9">
        <v>0</v>
      </c>
      <c r="AH134" s="41">
        <v>1</v>
      </c>
      <c r="AI134" s="42">
        <v>0.23726858772687431</v>
      </c>
      <c r="AJ134" s="42">
        <v>-0.19893868544789051</v>
      </c>
      <c r="AK134" s="9"/>
      <c r="AM134" s="9"/>
      <c r="AN134" s="9"/>
      <c r="AO134" s="9"/>
      <c r="AP134" s="9"/>
      <c r="AQ134" s="9"/>
      <c r="AR134" s="9"/>
      <c r="AS134" s="9"/>
      <c r="AU134" s="9"/>
      <c r="AV134" s="9"/>
      <c r="AW134" s="15"/>
      <c r="AX134" s="9"/>
      <c r="BC134" s="9"/>
      <c r="BD134" s="9"/>
      <c r="BE134" s="9"/>
      <c r="BF134" s="9"/>
      <c r="BG134" s="9"/>
      <c r="BL134" s="9"/>
      <c r="BM134" s="9"/>
      <c r="BN134" s="9"/>
      <c r="BO134" s="20"/>
      <c r="BP134" s="20"/>
      <c r="BQ134" s="9"/>
      <c r="BR134" s="9"/>
      <c r="BS134" s="21"/>
      <c r="BT134" s="9"/>
      <c r="BW134" s="26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</row>
    <row r="135" spans="1:87" ht="15">
      <c r="A135" s="13">
        <v>29129</v>
      </c>
      <c r="B135" s="12">
        <v>6496.8429999999998</v>
      </c>
      <c r="C135" s="9">
        <v>0</v>
      </c>
      <c r="D135" s="24">
        <v>12077</v>
      </c>
      <c r="E135" s="12">
        <v>42.030999999999999</v>
      </c>
      <c r="F135" s="12">
        <v>42.335000000000001</v>
      </c>
      <c r="G135" s="12">
        <v>78.066999999999993</v>
      </c>
      <c r="H135" s="34">
        <v>116.7</v>
      </c>
      <c r="I135" s="34">
        <v>2675.2</v>
      </c>
      <c r="J135" s="35">
        <v>41.186999999999998</v>
      </c>
      <c r="K135" s="35">
        <v>54.228999999999999</v>
      </c>
      <c r="L135" s="35">
        <v>72.897000000000006</v>
      </c>
      <c r="M135" s="5">
        <v>-1.4826749887493489</v>
      </c>
      <c r="N135" s="5">
        <v>1.1628905067084818</v>
      </c>
      <c r="O135" s="5">
        <v>-0.81864496294278577</v>
      </c>
      <c r="P135" s="6">
        <v>1</v>
      </c>
      <c r="Q135" s="6">
        <v>1</v>
      </c>
      <c r="R135" s="33">
        <v>1</v>
      </c>
      <c r="S135" s="5">
        <v>1.95E-2</v>
      </c>
      <c r="T135" s="26">
        <v>-43</v>
      </c>
      <c r="U135">
        <v>0</v>
      </c>
      <c r="V135" s="9">
        <v>0.16573900000000008</v>
      </c>
      <c r="W135" s="38">
        <v>0</v>
      </c>
      <c r="X135" s="38">
        <v>62.3</v>
      </c>
      <c r="Y135" s="38">
        <v>79.900000000000006</v>
      </c>
      <c r="Z135" s="38">
        <v>51</v>
      </c>
      <c r="AA135" s="9">
        <v>1.1000000000000001</v>
      </c>
      <c r="AB135" s="38">
        <v>0</v>
      </c>
      <c r="AC135" s="38">
        <v>1.261732067830601E-2</v>
      </c>
      <c r="AD135" s="38">
        <v>0</v>
      </c>
      <c r="AE135" s="9">
        <v>2.4773209831348453</v>
      </c>
      <c r="AF135" s="38">
        <v>1</v>
      </c>
      <c r="AG135" s="9">
        <v>0.61300639658847444</v>
      </c>
      <c r="AH135" s="41">
        <v>1</v>
      </c>
      <c r="AI135" s="42">
        <v>1.203689931760479</v>
      </c>
      <c r="AJ135" s="42">
        <v>0.22242409352491629</v>
      </c>
      <c r="AK135" s="9"/>
      <c r="AM135" s="9"/>
      <c r="AN135" s="9"/>
      <c r="AO135" s="9"/>
      <c r="AP135" s="9"/>
      <c r="AQ135" s="9"/>
      <c r="AR135" s="9"/>
      <c r="AS135" s="9"/>
      <c r="AU135" s="9"/>
      <c r="AV135" s="9"/>
      <c r="AW135" s="15"/>
      <c r="AX135" s="9"/>
      <c r="BC135" s="9"/>
      <c r="BD135" s="9"/>
      <c r="BE135" s="9"/>
      <c r="BF135" s="9"/>
      <c r="BG135" s="9"/>
      <c r="BL135" s="19"/>
      <c r="BM135" s="9"/>
      <c r="BN135" s="9"/>
      <c r="BO135" s="20"/>
      <c r="BP135" s="20"/>
      <c r="BQ135" s="9"/>
      <c r="BR135" s="9"/>
      <c r="BS135" s="21"/>
      <c r="BT135" s="9"/>
      <c r="BW135" s="26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</row>
    <row r="136" spans="1:87" ht="15">
      <c r="A136" s="13">
        <v>29221</v>
      </c>
      <c r="B136" s="12">
        <v>6517.8639999999996</v>
      </c>
      <c r="C136" s="9">
        <v>1</v>
      </c>
      <c r="D136" s="24">
        <v>12333</v>
      </c>
      <c r="E136" s="12">
        <v>42.905999999999999</v>
      </c>
      <c r="F136" s="12">
        <v>42.433999999999997</v>
      </c>
      <c r="G136" s="12">
        <v>77.881</v>
      </c>
      <c r="H136" s="34">
        <v>100.2</v>
      </c>
      <c r="I136" s="34">
        <v>2732.8</v>
      </c>
      <c r="J136" s="35">
        <v>42.418999999999997</v>
      </c>
      <c r="K136" s="35">
        <v>54.485999999999997</v>
      </c>
      <c r="L136" s="35">
        <v>72.69</v>
      </c>
      <c r="M136" s="5">
        <v>-0.35394491731625821</v>
      </c>
      <c r="N136" s="5">
        <v>0.83543833811763746</v>
      </c>
      <c r="O136" s="5">
        <v>-0.94568840381176589</v>
      </c>
      <c r="P136" s="6">
        <v>1</v>
      </c>
      <c r="Q136" s="6">
        <v>1</v>
      </c>
      <c r="R136" s="33">
        <v>1</v>
      </c>
      <c r="S136" s="5">
        <v>-1.7572000000000001</v>
      </c>
      <c r="T136" s="26">
        <v>-45</v>
      </c>
      <c r="U136">
        <v>6.3584792612784213E-2</v>
      </c>
      <c r="V136" s="9">
        <v>9.8473000000000033E-2</v>
      </c>
      <c r="W136" s="38">
        <v>6.2378454E-2</v>
      </c>
      <c r="X136" s="38">
        <v>63.9</v>
      </c>
      <c r="Y136" s="38">
        <v>83</v>
      </c>
      <c r="Z136" s="38">
        <v>51.6</v>
      </c>
      <c r="AA136" s="9">
        <v>-0.9</v>
      </c>
      <c r="AB136" s="38">
        <v>0</v>
      </c>
      <c r="AC136" s="38">
        <v>4.4274423145032493E-2</v>
      </c>
      <c r="AD136" s="38">
        <v>0</v>
      </c>
      <c r="AE136" s="9">
        <v>3.7286135651315888</v>
      </c>
      <c r="AF136" s="38">
        <v>1</v>
      </c>
      <c r="AG136" s="9">
        <v>0.80794701986755513</v>
      </c>
      <c r="AH136" s="41">
        <v>1</v>
      </c>
      <c r="AI136" s="42">
        <v>1.047869750268865</v>
      </c>
      <c r="AJ136" s="42">
        <v>0.12402772117141179</v>
      </c>
      <c r="AK136" s="9"/>
      <c r="AM136" s="9"/>
      <c r="AN136" s="9"/>
      <c r="AO136" s="9"/>
      <c r="AP136" s="9"/>
      <c r="AQ136" s="9"/>
      <c r="AR136" s="9"/>
      <c r="AS136" s="9"/>
      <c r="AU136" s="9"/>
      <c r="AV136" s="9"/>
      <c r="AW136" s="15"/>
      <c r="AX136" s="9"/>
      <c r="BC136" s="9"/>
      <c r="BD136" s="9"/>
      <c r="BE136" s="9"/>
      <c r="BF136" s="9"/>
      <c r="BG136" s="9"/>
      <c r="BL136" s="9"/>
      <c r="BM136" s="9"/>
      <c r="BN136" s="9"/>
      <c r="BO136" s="20"/>
      <c r="BP136" s="20"/>
      <c r="BQ136" s="9"/>
      <c r="BR136" s="9"/>
      <c r="BS136" s="21"/>
      <c r="BT136" s="9"/>
      <c r="BW136" s="26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</row>
    <row r="137" spans="1:87" ht="15">
      <c r="A137" s="13">
        <v>29312</v>
      </c>
      <c r="B137" s="12">
        <v>6385.6679999999997</v>
      </c>
      <c r="C137" s="9">
        <v>1</v>
      </c>
      <c r="D137" s="24">
        <v>12313</v>
      </c>
      <c r="E137" s="12">
        <v>43.847000000000001</v>
      </c>
      <c r="F137" s="12">
        <v>41.241</v>
      </c>
      <c r="G137" s="12">
        <v>76.522000000000006</v>
      </c>
      <c r="H137" s="34">
        <v>93</v>
      </c>
      <c r="I137" s="34">
        <v>2740.7</v>
      </c>
      <c r="J137" s="35">
        <v>43.454999999999998</v>
      </c>
      <c r="K137" s="35">
        <v>53.893999999999998</v>
      </c>
      <c r="L137" s="35">
        <v>72.781999999999996</v>
      </c>
      <c r="M137" s="5">
        <v>-8.4580352657567861</v>
      </c>
      <c r="N137" s="5">
        <v>-9.0347437940798674</v>
      </c>
      <c r="O137" s="5">
        <v>-0.90835364748921266</v>
      </c>
      <c r="P137" s="6">
        <v>1</v>
      </c>
      <c r="Q137" s="6">
        <v>1</v>
      </c>
      <c r="R137" s="33">
        <v>1</v>
      </c>
      <c r="S137" s="5">
        <v>-0.1037</v>
      </c>
      <c r="T137" s="26">
        <v>-79</v>
      </c>
      <c r="U137">
        <v>0</v>
      </c>
      <c r="V137" s="9">
        <v>-0.16942900000000005</v>
      </c>
      <c r="W137" s="38">
        <v>0.30044333699999998</v>
      </c>
      <c r="X137" s="38">
        <v>54.4</v>
      </c>
      <c r="Y137" s="38">
        <v>65.099999999999994</v>
      </c>
      <c r="Z137" s="38">
        <v>47.5</v>
      </c>
      <c r="AA137" s="9">
        <v>-1.8</v>
      </c>
      <c r="AB137" s="38">
        <v>0</v>
      </c>
      <c r="AC137" s="38">
        <v>-2.2397254156847679E-2</v>
      </c>
      <c r="AD137" s="38">
        <v>0</v>
      </c>
      <c r="AE137" s="9">
        <v>-0.8684842801814141</v>
      </c>
      <c r="AF137" s="38">
        <v>1</v>
      </c>
      <c r="AG137" s="9">
        <v>-0.64380501905137066</v>
      </c>
      <c r="AH137" s="41">
        <v>1</v>
      </c>
      <c r="AI137" s="42">
        <v>0.1419145654507134</v>
      </c>
      <c r="AJ137" s="42">
        <v>0.15355293231841091</v>
      </c>
      <c r="AK137" s="9"/>
      <c r="AM137" s="9"/>
      <c r="AN137" s="9"/>
      <c r="AO137" s="9"/>
      <c r="AP137" s="9"/>
      <c r="AQ137" s="9"/>
      <c r="AR137" s="9"/>
      <c r="AS137" s="9"/>
      <c r="AU137" s="9"/>
      <c r="AV137" s="9"/>
      <c r="AW137" s="15"/>
      <c r="AX137" s="9"/>
      <c r="BC137" s="9"/>
      <c r="BD137" s="9"/>
      <c r="BE137" s="9"/>
      <c r="BF137" s="9"/>
      <c r="BG137" s="9"/>
      <c r="BL137" s="9"/>
      <c r="BM137" s="9"/>
      <c r="BN137" s="9"/>
      <c r="BO137" s="20"/>
      <c r="BP137" s="20"/>
      <c r="BQ137" s="9"/>
      <c r="BR137" s="9"/>
      <c r="BS137" s="21"/>
      <c r="BT137" s="9"/>
      <c r="BW137" s="26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</row>
    <row r="138" spans="1:87" ht="15">
      <c r="A138" s="13">
        <v>29403</v>
      </c>
      <c r="B138" s="12">
        <v>6375.9880000000003</v>
      </c>
      <c r="C138" s="9">
        <v>1</v>
      </c>
      <c r="D138" s="24">
        <v>12540</v>
      </c>
      <c r="E138" s="12">
        <v>44.856000000000002</v>
      </c>
      <c r="F138" s="12">
        <v>41.19</v>
      </c>
      <c r="G138" s="12">
        <v>76.171000000000006</v>
      </c>
      <c r="H138" s="34">
        <v>96.6</v>
      </c>
      <c r="I138" s="34">
        <v>2824.4</v>
      </c>
      <c r="J138" s="35">
        <v>44.469000000000001</v>
      </c>
      <c r="K138" s="35">
        <v>54.075000000000003</v>
      </c>
      <c r="L138" s="35">
        <v>72.838999999999999</v>
      </c>
      <c r="M138" s="5">
        <v>0.31289793284355572</v>
      </c>
      <c r="N138" s="5">
        <v>-1.8151257969771573</v>
      </c>
      <c r="O138" s="5">
        <v>-0.96881765553914134</v>
      </c>
      <c r="P138" s="6">
        <v>1</v>
      </c>
      <c r="Q138" s="6">
        <v>1</v>
      </c>
      <c r="R138" s="33">
        <v>1</v>
      </c>
      <c r="S138" s="5">
        <v>-0.39400000000000002</v>
      </c>
      <c r="T138" s="26">
        <v>46</v>
      </c>
      <c r="U138">
        <v>0</v>
      </c>
      <c r="V138" s="9">
        <v>5.9355000000000047E-2</v>
      </c>
      <c r="W138" s="38">
        <v>0</v>
      </c>
      <c r="X138" s="38">
        <v>67.8</v>
      </c>
      <c r="Y138" s="38">
        <v>79.400000000000006</v>
      </c>
      <c r="Z138" s="38">
        <v>60.4</v>
      </c>
      <c r="AA138" s="9">
        <v>-0.2</v>
      </c>
      <c r="AB138" s="38">
        <v>0</v>
      </c>
      <c r="AC138" s="38">
        <v>-1.6626359680673719E-3</v>
      </c>
      <c r="AD138" s="38">
        <v>0</v>
      </c>
      <c r="AE138" s="9">
        <v>-0.13979733659874594</v>
      </c>
      <c r="AF138" s="38">
        <v>1</v>
      </c>
      <c r="AG138" s="9">
        <v>-0.39672044432691678</v>
      </c>
      <c r="AH138" s="41">
        <v>1</v>
      </c>
      <c r="AI138" s="42">
        <v>0.6066860633547918</v>
      </c>
      <c r="AJ138" s="42">
        <v>0.47078834938317371</v>
      </c>
      <c r="AK138" s="9"/>
      <c r="AM138" s="9"/>
      <c r="AN138" s="9"/>
      <c r="AO138" s="9"/>
      <c r="AP138" s="9"/>
      <c r="AQ138" s="9"/>
      <c r="AR138" s="9"/>
      <c r="AS138" s="9"/>
      <c r="AU138" s="9"/>
      <c r="AV138" s="9"/>
      <c r="AW138" s="15"/>
      <c r="AX138" s="9"/>
      <c r="BC138" s="9"/>
      <c r="BD138" s="9"/>
      <c r="BE138" s="9"/>
      <c r="BF138" s="9"/>
      <c r="BG138" s="9"/>
      <c r="BL138" s="9"/>
      <c r="BM138" s="9"/>
      <c r="BN138" s="9"/>
      <c r="BO138" s="20"/>
      <c r="BP138" s="20"/>
      <c r="BQ138" s="9"/>
      <c r="BR138" s="9"/>
      <c r="BS138" s="21"/>
      <c r="BT138" s="9"/>
      <c r="BW138" s="26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</row>
    <row r="139" spans="1:87" ht="15">
      <c r="A139" s="13">
        <v>29495</v>
      </c>
      <c r="B139" s="12">
        <v>6494.1260000000002</v>
      </c>
      <c r="C139" s="9">
        <v>0</v>
      </c>
      <c r="D139" s="24">
        <v>13090</v>
      </c>
      <c r="E139" s="12">
        <v>46.095999999999997</v>
      </c>
      <c r="F139" s="12">
        <v>42.164000000000001</v>
      </c>
      <c r="G139" s="12">
        <v>77.111999999999995</v>
      </c>
      <c r="H139" s="34">
        <v>113.9</v>
      </c>
      <c r="I139" s="34">
        <v>2976.4</v>
      </c>
      <c r="J139" s="35">
        <v>45.567</v>
      </c>
      <c r="K139" s="35">
        <v>54.679000000000002</v>
      </c>
      <c r="L139" s="35">
        <v>73.106999999999999</v>
      </c>
      <c r="M139" s="5">
        <v>6.0997285059086508</v>
      </c>
      <c r="N139" s="5">
        <v>3.295798696733407</v>
      </c>
      <c r="O139" s="5">
        <v>-0.91513376901156407</v>
      </c>
      <c r="P139" s="6">
        <v>1</v>
      </c>
      <c r="Q139" s="6">
        <v>1</v>
      </c>
      <c r="R139" s="33">
        <v>1</v>
      </c>
      <c r="S139" s="5">
        <v>-6.5907999999999998</v>
      </c>
      <c r="T139" s="26">
        <v>-16</v>
      </c>
      <c r="U139">
        <v>0</v>
      </c>
      <c r="V139" s="9">
        <v>0.1294789999999999</v>
      </c>
      <c r="W139" s="38">
        <v>0</v>
      </c>
      <c r="X139" s="38">
        <v>72</v>
      </c>
      <c r="Y139" s="38">
        <v>76.900000000000006</v>
      </c>
      <c r="Z139" s="38">
        <v>68.900000000000006</v>
      </c>
      <c r="AA139" s="9">
        <v>-1.1000000000000001</v>
      </c>
      <c r="AB139" s="38">
        <v>0</v>
      </c>
      <c r="AC139" s="38">
        <v>-4.2397087457206606E-3</v>
      </c>
      <c r="AD139" s="38">
        <v>0</v>
      </c>
      <c r="AE139" s="9">
        <v>4.5690956890009682</v>
      </c>
      <c r="AF139" s="38">
        <v>1</v>
      </c>
      <c r="AG139" s="9">
        <v>-0.1327668613913886</v>
      </c>
      <c r="AH139" s="41">
        <v>1</v>
      </c>
      <c r="AI139" s="42">
        <v>-0.14037582825589509</v>
      </c>
      <c r="AJ139" s="42">
        <v>0.27159842393935268</v>
      </c>
      <c r="AK139" s="9"/>
      <c r="AM139" s="9"/>
      <c r="AN139" s="9"/>
      <c r="AO139" s="9"/>
      <c r="AP139" s="9"/>
      <c r="AQ139" s="9"/>
      <c r="AR139" s="9"/>
      <c r="AS139" s="9"/>
      <c r="AU139" s="9"/>
      <c r="AV139" s="9"/>
      <c r="AW139" s="15"/>
      <c r="AX139" s="9"/>
      <c r="BC139" s="9"/>
      <c r="BD139" s="9"/>
      <c r="BE139" s="9"/>
      <c r="BF139" s="9"/>
      <c r="BG139" s="9"/>
      <c r="BL139" s="9"/>
      <c r="BM139" s="9"/>
      <c r="BN139" s="9"/>
      <c r="BO139" s="20"/>
      <c r="BP139" s="20"/>
      <c r="BQ139" s="9"/>
      <c r="BR139" s="19"/>
      <c r="BS139" s="21"/>
      <c r="BT139" s="9"/>
      <c r="BW139" s="26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</row>
    <row r="140" spans="1:87" ht="15">
      <c r="A140" s="13">
        <v>29587</v>
      </c>
      <c r="B140" s="12">
        <v>6628.634</v>
      </c>
      <c r="C140" s="9">
        <v>0</v>
      </c>
      <c r="D140" s="24">
        <v>13667</v>
      </c>
      <c r="E140" s="12">
        <v>47.246000000000002</v>
      </c>
      <c r="F140" s="12">
        <v>43.113999999999997</v>
      </c>
      <c r="G140" s="12">
        <v>77.537000000000006</v>
      </c>
      <c r="H140" s="34">
        <v>123.1</v>
      </c>
      <c r="I140" s="34">
        <v>3074.5</v>
      </c>
      <c r="J140" s="35">
        <v>46.749000000000002</v>
      </c>
      <c r="K140" s="35">
        <v>55.604999999999997</v>
      </c>
      <c r="L140" s="35">
        <v>72.971000000000004</v>
      </c>
      <c r="M140" s="5">
        <v>4.1944286075472741</v>
      </c>
      <c r="N140" s="5">
        <v>1.9666349625569293</v>
      </c>
      <c r="O140" s="5">
        <v>-0.4826849135337461</v>
      </c>
      <c r="P140" s="6">
        <v>1</v>
      </c>
      <c r="Q140" s="6">
        <v>1</v>
      </c>
      <c r="R140" s="33">
        <v>1</v>
      </c>
      <c r="S140" s="5">
        <v>2.1446999999999998</v>
      </c>
      <c r="T140" s="26">
        <v>-16</v>
      </c>
      <c r="U140">
        <v>2.5555051324092758E-2</v>
      </c>
      <c r="V140" s="9">
        <v>-0.11681300000000006</v>
      </c>
      <c r="W140" s="38">
        <v>0.69774298199999996</v>
      </c>
      <c r="X140" s="38">
        <v>68.3</v>
      </c>
      <c r="Y140" s="38">
        <v>74.8</v>
      </c>
      <c r="Z140" s="38">
        <v>64</v>
      </c>
      <c r="AA140" s="9">
        <v>-0.7</v>
      </c>
      <c r="AB140" s="38">
        <v>0</v>
      </c>
      <c r="AC140" s="38">
        <v>1.597762802569358E-2</v>
      </c>
      <c r="AD140" s="38">
        <v>0</v>
      </c>
      <c r="AE140" s="9">
        <v>10.372147442719214</v>
      </c>
      <c r="AF140" s="38">
        <v>1</v>
      </c>
      <c r="AG140" s="9">
        <v>1.1831959585216794</v>
      </c>
      <c r="AH140" s="41">
        <v>1</v>
      </c>
      <c r="AI140" s="42">
        <v>-0.35387187348845017</v>
      </c>
      <c r="AJ140" s="42">
        <v>0.4249582693103332</v>
      </c>
      <c r="AK140" s="9"/>
      <c r="AM140" s="9"/>
      <c r="AN140" s="9"/>
      <c r="AO140" s="9"/>
      <c r="AP140" s="9"/>
      <c r="AQ140" s="9"/>
      <c r="AR140" s="9"/>
      <c r="AS140" s="9"/>
      <c r="AU140" s="9"/>
      <c r="AV140" s="9"/>
      <c r="AW140" s="15"/>
      <c r="AX140" s="9"/>
      <c r="BC140" s="9"/>
      <c r="BD140" s="9"/>
      <c r="BE140" s="9"/>
      <c r="BF140" s="9"/>
      <c r="BG140" s="9"/>
      <c r="BL140" s="9"/>
      <c r="BM140" s="9"/>
      <c r="BN140" s="9"/>
      <c r="BO140" s="20"/>
      <c r="BP140" s="20"/>
      <c r="BQ140" s="9"/>
      <c r="BR140" s="9"/>
      <c r="BS140" s="21"/>
      <c r="BT140" s="9"/>
      <c r="BW140" s="26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</row>
    <row r="141" spans="1:87" ht="15">
      <c r="A141" s="13">
        <v>29677</v>
      </c>
      <c r="B141" s="12">
        <v>6580.1989999999996</v>
      </c>
      <c r="C141" s="9">
        <v>0</v>
      </c>
      <c r="D141" s="24">
        <v>13790</v>
      </c>
      <c r="E141" s="12">
        <v>48.133000000000003</v>
      </c>
      <c r="F141" s="12">
        <v>42.59</v>
      </c>
      <c r="G141" s="12">
        <v>77.563999999999993</v>
      </c>
      <c r="H141" s="34">
        <v>130.69999999999999</v>
      </c>
      <c r="I141" s="34">
        <v>3132.5</v>
      </c>
      <c r="J141" s="35">
        <v>47.529000000000003</v>
      </c>
      <c r="K141" s="35">
        <v>54.908999999999999</v>
      </c>
      <c r="L141" s="35">
        <v>72.927999999999997</v>
      </c>
      <c r="M141" s="5">
        <v>-3.200830913896282</v>
      </c>
      <c r="N141" s="5">
        <v>-3.6935151429474473</v>
      </c>
      <c r="O141" s="5">
        <v>-0.23811587986439886</v>
      </c>
      <c r="P141" s="6">
        <v>1</v>
      </c>
      <c r="Q141" s="6">
        <v>0</v>
      </c>
      <c r="R141" s="33">
        <v>1</v>
      </c>
      <c r="S141" s="5">
        <v>2.2094</v>
      </c>
      <c r="T141" s="26">
        <v>-21</v>
      </c>
      <c r="U141">
        <v>0</v>
      </c>
      <c r="V141" s="9">
        <v>-4.8619999999999886E-2</v>
      </c>
      <c r="W141" s="38">
        <v>0</v>
      </c>
      <c r="X141" s="38">
        <v>73.900000000000006</v>
      </c>
      <c r="Y141" s="38">
        <v>78.2</v>
      </c>
      <c r="Z141" s="38">
        <v>71.2</v>
      </c>
      <c r="AA141" s="9">
        <v>0.2</v>
      </c>
      <c r="AB141" s="38">
        <v>0</v>
      </c>
      <c r="AC141" s="38">
        <v>2.1638925076008508E-2</v>
      </c>
      <c r="AD141" s="38">
        <v>0</v>
      </c>
      <c r="AE141" s="9">
        <v>3.7655951746891292</v>
      </c>
      <c r="AF141" s="38">
        <v>1</v>
      </c>
      <c r="AG141" s="9">
        <v>-0.24963868085666263</v>
      </c>
      <c r="AH141" s="41">
        <v>1</v>
      </c>
      <c r="AI141" s="42">
        <v>0.27644643825811438</v>
      </c>
      <c r="AJ141" s="42">
        <v>2.569769779869624E-2</v>
      </c>
      <c r="AK141" s="9"/>
      <c r="AM141" s="9"/>
      <c r="AN141" s="9"/>
      <c r="AO141" s="9"/>
      <c r="AP141" s="9"/>
      <c r="AQ141" s="9"/>
      <c r="AR141" s="9"/>
      <c r="AS141" s="9"/>
      <c r="AU141" s="9"/>
      <c r="AV141" s="9"/>
      <c r="AW141" s="15"/>
      <c r="AX141" s="9"/>
      <c r="BC141" s="9"/>
      <c r="BD141" s="9"/>
      <c r="BE141" s="9"/>
      <c r="BF141" s="9"/>
      <c r="BG141" s="9"/>
      <c r="BL141" s="9"/>
      <c r="BM141" s="9"/>
      <c r="BN141" s="9"/>
      <c r="BO141" s="20"/>
      <c r="BP141" s="20"/>
      <c r="BQ141" s="9"/>
      <c r="BR141" s="19"/>
      <c r="BS141" s="21"/>
      <c r="BT141" s="9"/>
      <c r="BW141" s="26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</row>
    <row r="142" spans="1:87" ht="15">
      <c r="A142" s="13">
        <v>29768</v>
      </c>
      <c r="B142" s="12">
        <v>6655.692</v>
      </c>
      <c r="C142" s="9">
        <v>1</v>
      </c>
      <c r="D142" s="24">
        <v>14161</v>
      </c>
      <c r="E142" s="12">
        <v>48.999000000000002</v>
      </c>
      <c r="F142" s="12">
        <v>42.935000000000002</v>
      </c>
      <c r="G142" s="12">
        <v>77.537999999999997</v>
      </c>
      <c r="H142" s="34">
        <v>144.19999999999999</v>
      </c>
      <c r="I142" s="34">
        <v>3233.3</v>
      </c>
      <c r="J142" s="35">
        <v>48.308</v>
      </c>
      <c r="K142" s="35">
        <v>55.372999999999998</v>
      </c>
      <c r="L142" s="35">
        <v>73.042000000000002</v>
      </c>
      <c r="M142" s="5">
        <v>4.1151665675940139</v>
      </c>
      <c r="N142" s="5">
        <v>6.0558091906845721</v>
      </c>
      <c r="O142" s="5">
        <v>-0.72215672929057462</v>
      </c>
      <c r="P142" s="6">
        <v>1</v>
      </c>
      <c r="Q142" s="6">
        <v>0</v>
      </c>
      <c r="R142" s="33">
        <v>1</v>
      </c>
      <c r="S142" s="5">
        <v>1.3794999999999999</v>
      </c>
      <c r="T142" s="26">
        <v>-5</v>
      </c>
      <c r="U142">
        <v>0</v>
      </c>
      <c r="V142" s="9">
        <v>-0.11651100000000003</v>
      </c>
      <c r="W142" s="38">
        <v>-0.27998867500000002</v>
      </c>
      <c r="X142" s="38">
        <v>74.8</v>
      </c>
      <c r="Y142" s="38">
        <v>83.9</v>
      </c>
      <c r="Z142" s="38">
        <v>69</v>
      </c>
      <c r="AA142" s="9">
        <v>1.3</v>
      </c>
      <c r="AB142" s="38">
        <v>0</v>
      </c>
      <c r="AC142" s="38">
        <v>2.4566910126523345E-2</v>
      </c>
      <c r="AD142" s="38">
        <v>1</v>
      </c>
      <c r="AE142" s="9">
        <v>-2.7943573362544827</v>
      </c>
      <c r="AF142" s="38">
        <v>1</v>
      </c>
      <c r="AG142" s="9">
        <v>0.2634351949420477</v>
      </c>
      <c r="AH142" s="41">
        <v>1</v>
      </c>
      <c r="AI142" s="42">
        <v>-0.18085233065353901</v>
      </c>
      <c r="AJ142" s="42">
        <v>-9.5372722815543709E-2</v>
      </c>
      <c r="AK142" s="9"/>
      <c r="AM142" s="9"/>
      <c r="AN142" s="9"/>
      <c r="AO142" s="9"/>
      <c r="AP142" s="9"/>
      <c r="AQ142" s="9"/>
      <c r="AR142" s="9"/>
      <c r="AS142" s="9"/>
      <c r="AU142" s="9"/>
      <c r="AV142" s="9"/>
      <c r="AW142" s="15"/>
      <c r="AX142" s="9"/>
      <c r="BC142" s="9"/>
      <c r="BD142" s="9"/>
      <c r="BE142" s="9"/>
      <c r="BF142" s="9"/>
      <c r="BG142" s="9"/>
      <c r="BL142" s="9"/>
      <c r="BM142" s="9"/>
      <c r="BN142" s="9"/>
      <c r="BO142" s="20"/>
      <c r="BP142" s="20"/>
      <c r="BQ142" s="9"/>
      <c r="BR142" s="9"/>
      <c r="BS142" s="21"/>
      <c r="BT142" s="9"/>
      <c r="BW142" s="26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</row>
    <row r="143" spans="1:87" ht="15">
      <c r="A143" s="13">
        <v>29860</v>
      </c>
      <c r="B143" s="12">
        <v>6578.0349999999999</v>
      </c>
      <c r="C143" s="9">
        <v>1</v>
      </c>
      <c r="D143" s="24">
        <v>14220</v>
      </c>
      <c r="E143" s="12">
        <v>49.917000000000002</v>
      </c>
      <c r="F143" s="12">
        <v>42.264000000000003</v>
      </c>
      <c r="G143" s="12">
        <v>77.239000000000004</v>
      </c>
      <c r="H143" s="34">
        <v>135.9</v>
      </c>
      <c r="I143" s="34">
        <v>3256.7</v>
      </c>
      <c r="J143" s="35">
        <v>49.042999999999999</v>
      </c>
      <c r="K143" s="35">
        <v>54.719000000000001</v>
      </c>
      <c r="L143" s="35">
        <v>72.884</v>
      </c>
      <c r="M143" s="5">
        <v>-7.782367358822512</v>
      </c>
      <c r="N143" s="5">
        <v>-3.6690236545375674</v>
      </c>
      <c r="O143" s="5">
        <v>-1.0306013250301223</v>
      </c>
      <c r="P143" s="6">
        <v>1</v>
      </c>
      <c r="Q143" s="6">
        <v>0</v>
      </c>
      <c r="R143" s="33">
        <v>1</v>
      </c>
      <c r="S143" s="5">
        <v>-1.2905</v>
      </c>
      <c r="T143" s="26">
        <v>12</v>
      </c>
      <c r="U143">
        <v>0</v>
      </c>
      <c r="V143" s="9">
        <v>-3.7340000000001261E-3</v>
      </c>
      <c r="W143" s="38">
        <v>0</v>
      </c>
      <c r="X143" s="38">
        <v>65.7</v>
      </c>
      <c r="Y143" s="38">
        <v>77.099999999999994</v>
      </c>
      <c r="Z143" s="38">
        <v>58.5</v>
      </c>
      <c r="AA143" s="9">
        <v>0</v>
      </c>
      <c r="AB143" s="38">
        <v>0</v>
      </c>
      <c r="AC143" s="38">
        <v>2.8513851198167073E-2</v>
      </c>
      <c r="AD143" s="38">
        <v>1</v>
      </c>
      <c r="AE143" s="9">
        <v>-2.0363181694696086</v>
      </c>
      <c r="AF143" s="38">
        <v>1</v>
      </c>
      <c r="AG143" s="9">
        <v>-7.8822911192858669E-2</v>
      </c>
      <c r="AH143" s="41">
        <v>1</v>
      </c>
      <c r="AI143" s="42">
        <v>0.1724127378544057</v>
      </c>
      <c r="AJ143" s="42">
        <v>0.26889580130751223</v>
      </c>
      <c r="AK143" s="9"/>
      <c r="AM143" s="9"/>
      <c r="AN143" s="9"/>
      <c r="AO143" s="9"/>
      <c r="AP143" s="9"/>
      <c r="AQ143" s="9"/>
      <c r="AR143" s="9"/>
      <c r="AS143" s="9"/>
      <c r="AU143" s="9"/>
      <c r="AV143" s="9"/>
      <c r="AW143" s="15"/>
      <c r="AX143" s="9"/>
      <c r="BC143" s="9"/>
      <c r="BD143" s="9"/>
      <c r="BE143" s="9"/>
      <c r="BF143" s="9"/>
      <c r="BG143" s="9"/>
      <c r="BL143" s="9"/>
      <c r="BM143" s="9"/>
      <c r="BN143" s="9"/>
      <c r="BO143" s="20"/>
      <c r="BP143" s="20"/>
      <c r="BQ143" s="9"/>
      <c r="BR143" s="9"/>
      <c r="BS143" s="21"/>
      <c r="BT143" s="9"/>
      <c r="BW143" s="26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</row>
    <row r="144" spans="1:87" ht="15">
      <c r="A144" s="13">
        <v>29952</v>
      </c>
      <c r="B144" s="12">
        <v>6468.0029999999997</v>
      </c>
      <c r="C144" s="9">
        <v>1</v>
      </c>
      <c r="D144" s="24">
        <v>14148</v>
      </c>
      <c r="E144" s="12">
        <v>50.615000000000002</v>
      </c>
      <c r="F144" s="12">
        <v>41.283999999999999</v>
      </c>
      <c r="G144" s="12">
        <v>75.995000000000005</v>
      </c>
      <c r="H144" s="34">
        <v>124.5</v>
      </c>
      <c r="I144" s="34">
        <v>3275.5</v>
      </c>
      <c r="J144" s="35">
        <v>49.66</v>
      </c>
      <c r="K144" s="35">
        <v>54.323999999999998</v>
      </c>
      <c r="L144" s="35">
        <v>73.832999999999998</v>
      </c>
      <c r="M144" s="5">
        <v>-4.997558242231241</v>
      </c>
      <c r="N144" s="5">
        <v>7.3624415675491051E-2</v>
      </c>
      <c r="O144" s="5">
        <v>-0.92647363102686087</v>
      </c>
      <c r="P144" s="6">
        <v>1</v>
      </c>
      <c r="Q144" s="6">
        <v>0</v>
      </c>
      <c r="R144" s="33">
        <v>1</v>
      </c>
      <c r="S144" s="5">
        <v>1.4702</v>
      </c>
      <c r="T144" s="26">
        <v>-8</v>
      </c>
      <c r="U144">
        <v>0</v>
      </c>
      <c r="V144" s="9">
        <v>4.4030000000001568E-3</v>
      </c>
      <c r="W144" s="38">
        <v>-1.355591816</v>
      </c>
      <c r="X144" s="38">
        <v>66.599999999999994</v>
      </c>
      <c r="Y144" s="38">
        <v>79.400000000000006</v>
      </c>
      <c r="Z144" s="38">
        <v>58.3</v>
      </c>
      <c r="AA144" s="9">
        <v>0.4</v>
      </c>
      <c r="AB144" s="38">
        <v>0</v>
      </c>
      <c r="AC144" s="38">
        <v>2.8747467853236008E-2</v>
      </c>
      <c r="AD144" s="38">
        <v>1</v>
      </c>
      <c r="AE144" s="9">
        <v>-3.8612476450931799</v>
      </c>
      <c r="AF144" s="38">
        <v>1</v>
      </c>
      <c r="AG144" s="9">
        <v>0.38127793846962277</v>
      </c>
      <c r="AH144" s="41">
        <v>1</v>
      </c>
      <c r="AI144" s="42">
        <v>0.72177381875082758</v>
      </c>
      <c r="AJ144" s="42">
        <v>0.62844231022826769</v>
      </c>
      <c r="AK144" s="9"/>
      <c r="AM144" s="9"/>
      <c r="AN144" s="9"/>
      <c r="AO144" s="9"/>
      <c r="AP144" s="9"/>
      <c r="AQ144" s="9"/>
      <c r="AR144" s="9"/>
      <c r="AS144" s="9"/>
      <c r="AU144" s="9"/>
      <c r="AV144" s="9"/>
      <c r="AW144" s="15"/>
      <c r="AX144" s="9"/>
      <c r="BC144" s="9"/>
      <c r="BD144" s="9"/>
      <c r="BE144" s="9"/>
      <c r="BF144" s="9"/>
      <c r="BG144" s="9"/>
      <c r="BL144" s="9"/>
      <c r="BM144" s="9"/>
      <c r="BN144" s="9"/>
      <c r="BO144" s="20"/>
      <c r="BP144" s="20"/>
      <c r="BQ144" s="9"/>
      <c r="BR144" s="9"/>
      <c r="BS144" s="21"/>
      <c r="BT144" s="9"/>
      <c r="BW144" s="26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</row>
    <row r="145" spans="1:87" ht="15">
      <c r="A145" s="13">
        <v>30042</v>
      </c>
      <c r="B145" s="12">
        <v>6503.2520000000004</v>
      </c>
      <c r="C145" s="9">
        <v>1</v>
      </c>
      <c r="D145" s="24">
        <v>14365</v>
      </c>
      <c r="E145" s="12">
        <v>51.225000000000001</v>
      </c>
      <c r="F145" s="12">
        <v>41.53</v>
      </c>
      <c r="G145" s="12">
        <v>76.290000000000006</v>
      </c>
      <c r="H145" s="34">
        <v>134.19999999999999</v>
      </c>
      <c r="I145" s="34">
        <v>3328.2</v>
      </c>
      <c r="J145" s="35">
        <v>50.134</v>
      </c>
      <c r="K145" s="35">
        <v>54.436999999999998</v>
      </c>
      <c r="L145" s="35">
        <v>73.697999999999993</v>
      </c>
      <c r="M145" s="5">
        <v>-0.63005887236093916</v>
      </c>
      <c r="N145" s="5">
        <v>3.5137612792163981</v>
      </c>
      <c r="O145" s="5">
        <v>-0.80553579614083426</v>
      </c>
      <c r="P145" s="6">
        <v>1</v>
      </c>
      <c r="Q145" s="6">
        <v>0</v>
      </c>
      <c r="R145" s="33">
        <v>1</v>
      </c>
      <c r="S145" s="5">
        <v>1.3519000000000001</v>
      </c>
      <c r="T145" s="26">
        <v>3</v>
      </c>
      <c r="U145">
        <v>0</v>
      </c>
      <c r="V145" s="9">
        <v>9.7717999999999972E-2</v>
      </c>
      <c r="W145" s="38">
        <v>0</v>
      </c>
      <c r="X145" s="38">
        <v>66.2</v>
      </c>
      <c r="Y145" s="38">
        <v>74.2</v>
      </c>
      <c r="Z145" s="38">
        <v>61.1</v>
      </c>
      <c r="AA145" s="9">
        <v>1.3</v>
      </c>
      <c r="AB145" s="38">
        <v>0</v>
      </c>
      <c r="AC145" s="38">
        <v>2.8758545242602906E-2</v>
      </c>
      <c r="AD145" s="38">
        <v>1</v>
      </c>
      <c r="AE145" s="9">
        <v>-3.8489479510032565</v>
      </c>
      <c r="AF145" s="38">
        <v>1</v>
      </c>
      <c r="AG145" s="9">
        <v>-0.61558611656843709</v>
      </c>
      <c r="AH145" s="41">
        <v>1</v>
      </c>
      <c r="AI145" s="42">
        <v>1.1125266324722749</v>
      </c>
      <c r="AJ145" s="42">
        <v>0.56241801092893884</v>
      </c>
      <c r="AK145" s="9"/>
      <c r="AM145" s="9"/>
      <c r="AN145" s="9"/>
      <c r="AO145" s="9"/>
      <c r="AP145" s="9"/>
      <c r="AQ145" s="9"/>
      <c r="AR145" s="9"/>
      <c r="AS145" s="9"/>
      <c r="AU145" s="9"/>
      <c r="AV145" s="9"/>
      <c r="AW145" s="15"/>
      <c r="AX145" s="9"/>
      <c r="BC145" s="9"/>
      <c r="BD145" s="9"/>
      <c r="BE145" s="9"/>
      <c r="BF145" s="9"/>
      <c r="BG145" s="9"/>
      <c r="BL145" s="9"/>
      <c r="BM145" s="9"/>
      <c r="BN145" s="9"/>
      <c r="BO145" s="20"/>
      <c r="BP145" s="20"/>
      <c r="BQ145" s="9"/>
      <c r="BR145" s="9"/>
      <c r="BS145" s="21"/>
      <c r="BT145" s="9"/>
      <c r="BW145" s="26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</row>
    <row r="146" spans="1:87" ht="15">
      <c r="A146" s="13">
        <v>30133</v>
      </c>
      <c r="B146" s="12">
        <v>6479.8379999999997</v>
      </c>
      <c r="C146" s="9">
        <v>1</v>
      </c>
      <c r="D146" s="24">
        <v>14482</v>
      </c>
      <c r="E146" s="12">
        <v>51.962000000000003</v>
      </c>
      <c r="F146" s="12">
        <v>41.314999999999998</v>
      </c>
      <c r="G146" s="12">
        <v>75.748999999999995</v>
      </c>
      <c r="H146" s="34">
        <v>133.9</v>
      </c>
      <c r="I146" s="34">
        <v>3363</v>
      </c>
      <c r="J146" s="35">
        <v>50.923999999999999</v>
      </c>
      <c r="K146" s="35">
        <v>54.542000000000002</v>
      </c>
      <c r="L146" s="35">
        <v>73.602000000000004</v>
      </c>
      <c r="M146" s="5">
        <v>-2.3553398647873225</v>
      </c>
      <c r="N146" s="5">
        <v>-0.71687297372220016</v>
      </c>
      <c r="O146" s="5">
        <v>-1.5052650155534659</v>
      </c>
      <c r="P146" s="6">
        <v>1</v>
      </c>
      <c r="Q146" s="6">
        <v>0</v>
      </c>
      <c r="R146" s="33">
        <v>1</v>
      </c>
      <c r="S146" s="5">
        <v>-0.21029999999999999</v>
      </c>
      <c r="T146" s="26">
        <v>12</v>
      </c>
      <c r="U146">
        <v>0</v>
      </c>
      <c r="V146" s="9">
        <v>7.3498999999999981E-2</v>
      </c>
      <c r="W146" s="38">
        <v>0</v>
      </c>
      <c r="X146" s="38">
        <v>66.7</v>
      </c>
      <c r="Y146" s="38">
        <v>74.3</v>
      </c>
      <c r="Z146" s="38">
        <v>61.8</v>
      </c>
      <c r="AA146" s="9">
        <v>0</v>
      </c>
      <c r="AB146" s="38">
        <v>0</v>
      </c>
      <c r="AC146" s="38">
        <v>2.2988107691941373E-3</v>
      </c>
      <c r="AD146" s="38">
        <v>1</v>
      </c>
      <c r="AE146" s="9">
        <v>-3.4761845398845193</v>
      </c>
      <c r="AF146" s="38">
        <v>1</v>
      </c>
      <c r="AG146" s="9">
        <v>-0.98840274117026183</v>
      </c>
      <c r="AH146" s="41">
        <v>1</v>
      </c>
      <c r="AI146" s="42">
        <v>1.2866955374580351</v>
      </c>
      <c r="AJ146" s="42">
        <v>0.64374296035566403</v>
      </c>
      <c r="AK146" s="9"/>
      <c r="AM146" s="9"/>
      <c r="AN146" s="9"/>
      <c r="AO146" s="9"/>
      <c r="AP146" s="9"/>
      <c r="AQ146" s="9"/>
      <c r="AR146" s="9"/>
      <c r="AS146" s="9"/>
      <c r="AU146" s="9"/>
      <c r="AV146" s="9"/>
      <c r="AW146" s="15"/>
      <c r="AX146" s="9"/>
      <c r="BC146" s="9"/>
      <c r="BD146" s="9"/>
      <c r="BE146" s="9"/>
      <c r="BF146" s="9"/>
      <c r="BG146" s="9"/>
      <c r="BL146" s="9"/>
      <c r="BM146" s="9"/>
      <c r="BN146" s="9"/>
      <c r="BO146" s="20"/>
      <c r="BP146" s="20"/>
      <c r="BQ146" s="9"/>
      <c r="BR146" s="19"/>
      <c r="BS146" s="21"/>
      <c r="BT146" s="9"/>
      <c r="BW146" s="26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</row>
    <row r="147" spans="1:87" ht="15">
      <c r="A147" s="13">
        <v>30225</v>
      </c>
      <c r="B147" s="12">
        <v>6486.1589999999997</v>
      </c>
      <c r="C147" s="9">
        <v>1</v>
      </c>
      <c r="D147" s="24">
        <v>14621</v>
      </c>
      <c r="E147" s="12">
        <v>52.54</v>
      </c>
      <c r="F147" s="12">
        <v>41.314</v>
      </c>
      <c r="G147" s="12">
        <v>75.064999999999998</v>
      </c>
      <c r="H147" s="34">
        <v>130.5</v>
      </c>
      <c r="I147" s="34">
        <v>3386.3</v>
      </c>
      <c r="J147" s="35">
        <v>51.49</v>
      </c>
      <c r="K147" s="35">
        <v>55.037999999999997</v>
      </c>
      <c r="L147" s="35">
        <v>73.835999999999999</v>
      </c>
      <c r="M147" s="5">
        <v>0.6883341305834022</v>
      </c>
      <c r="N147" s="5">
        <v>-1.1462803316189958</v>
      </c>
      <c r="O147" s="5">
        <v>-1.9748949993578728</v>
      </c>
      <c r="P147" s="6">
        <v>1</v>
      </c>
      <c r="Q147" s="6">
        <v>0</v>
      </c>
      <c r="R147" s="33">
        <v>1</v>
      </c>
      <c r="S147" s="5">
        <v>-7.7399999999999997E-2</v>
      </c>
      <c r="T147" s="26">
        <v>59</v>
      </c>
      <c r="U147">
        <v>0</v>
      </c>
      <c r="V147" s="9">
        <v>-4.0667000000000009E-2</v>
      </c>
      <c r="W147" s="38">
        <v>0</v>
      </c>
      <c r="X147" s="38">
        <v>72.5</v>
      </c>
      <c r="Y147" s="38">
        <v>76.7</v>
      </c>
      <c r="Z147" s="38">
        <v>69.8</v>
      </c>
      <c r="AA147" s="9">
        <v>0.5</v>
      </c>
      <c r="AB147" s="38">
        <v>0</v>
      </c>
      <c r="AC147" s="38">
        <v>1.6408659952158899E-2</v>
      </c>
      <c r="AD147" s="38">
        <v>1</v>
      </c>
      <c r="AE147" s="9">
        <v>-3.6658315182699353</v>
      </c>
      <c r="AF147" s="38">
        <v>1</v>
      </c>
      <c r="AG147" s="9">
        <v>0.23958471981899265</v>
      </c>
      <c r="AH147" s="41">
        <v>1</v>
      </c>
      <c r="AI147" s="42">
        <v>1.4760969117373031</v>
      </c>
      <c r="AJ147" s="42">
        <v>1.240754665410865</v>
      </c>
      <c r="AK147" s="9"/>
      <c r="AM147" s="9"/>
      <c r="AN147" s="9"/>
      <c r="AO147" s="9"/>
      <c r="AP147" s="9"/>
      <c r="AQ147" s="9"/>
      <c r="AR147" s="9"/>
      <c r="AS147" s="9"/>
      <c r="AU147" s="9"/>
      <c r="AV147" s="9"/>
      <c r="AW147" s="15"/>
      <c r="AX147" s="9"/>
      <c r="BC147" s="9"/>
      <c r="BD147" s="9"/>
      <c r="BE147" s="9"/>
      <c r="BF147" s="9"/>
      <c r="BG147" s="9"/>
      <c r="BL147" s="9"/>
      <c r="BM147" s="9"/>
      <c r="BN147" s="9"/>
      <c r="BO147" s="20"/>
      <c r="BP147" s="20"/>
      <c r="BQ147" s="9"/>
      <c r="BR147" s="9"/>
      <c r="BS147" s="21"/>
      <c r="BT147" s="9"/>
      <c r="BW147" s="26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</row>
    <row r="148" spans="1:87" ht="15">
      <c r="A148" s="13">
        <v>30317</v>
      </c>
      <c r="B148" s="12">
        <v>6571.1120000000001</v>
      </c>
      <c r="C148" s="9">
        <v>0</v>
      </c>
      <c r="D148" s="24">
        <v>14902</v>
      </c>
      <c r="E148" s="12">
        <v>52.963999999999999</v>
      </c>
      <c r="F148" s="12">
        <v>42.11</v>
      </c>
      <c r="G148" s="12">
        <v>75.504000000000005</v>
      </c>
      <c r="H148" s="34">
        <v>147.5</v>
      </c>
      <c r="I148" s="34">
        <v>3451.7</v>
      </c>
      <c r="J148" s="35">
        <v>51.936</v>
      </c>
      <c r="K148" s="35">
        <v>55.771999999999998</v>
      </c>
      <c r="L148" s="35">
        <v>74.180000000000007</v>
      </c>
      <c r="M148" s="5">
        <v>2.5623108396131529</v>
      </c>
      <c r="N148" s="5">
        <v>-2.5309624955469618</v>
      </c>
      <c r="O148" s="5">
        <v>-1.9683859541100541</v>
      </c>
      <c r="P148" s="6">
        <v>1</v>
      </c>
      <c r="Q148" s="6">
        <v>0</v>
      </c>
      <c r="R148" s="33">
        <v>1</v>
      </c>
      <c r="S148" s="5">
        <v>1.1387</v>
      </c>
      <c r="T148" s="26">
        <v>53</v>
      </c>
      <c r="U148">
        <v>0</v>
      </c>
      <c r="V148" s="9">
        <v>9.6845999999999988E-2</v>
      </c>
      <c r="W148" s="38">
        <v>-0.91341748199999995</v>
      </c>
      <c r="X148" s="38">
        <v>75</v>
      </c>
      <c r="Y148" s="38">
        <v>79.599999999999994</v>
      </c>
      <c r="Z148" s="38">
        <v>72</v>
      </c>
      <c r="AA148" s="9">
        <v>1.5</v>
      </c>
      <c r="AB148" s="38">
        <v>0</v>
      </c>
      <c r="AC148" s="38">
        <v>1.7385666066218608E-2</v>
      </c>
      <c r="AD148" s="38">
        <v>1</v>
      </c>
      <c r="AE148" s="9">
        <v>6.310659970283905</v>
      </c>
      <c r="AF148" s="38">
        <v>1</v>
      </c>
      <c r="AG148" s="9">
        <v>0.90293453724603978</v>
      </c>
      <c r="AH148" s="41">
        <v>0</v>
      </c>
      <c r="AI148" s="42">
        <v>1.440649921065269</v>
      </c>
      <c r="AJ148" s="42">
        <v>0.82588450812935754</v>
      </c>
      <c r="AK148" s="9"/>
      <c r="AM148" s="9"/>
      <c r="AN148" s="9"/>
      <c r="AO148" s="9"/>
      <c r="AP148" s="9"/>
      <c r="AQ148" s="9"/>
      <c r="AR148" s="9"/>
      <c r="AS148" s="9"/>
      <c r="AU148" s="9"/>
      <c r="AV148" s="9"/>
      <c r="AW148" s="15"/>
      <c r="AX148" s="9"/>
      <c r="BC148" s="9"/>
      <c r="BD148" s="9"/>
      <c r="BE148" s="9"/>
      <c r="BF148" s="9"/>
      <c r="BG148" s="9"/>
      <c r="BL148" s="9"/>
      <c r="BM148" s="9"/>
      <c r="BN148" s="9"/>
      <c r="BO148" s="20"/>
      <c r="BP148" s="20"/>
      <c r="BQ148" s="9"/>
      <c r="BR148" s="9"/>
      <c r="BS148" s="21"/>
      <c r="BT148" s="9"/>
      <c r="BW148" s="26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</row>
    <row r="149" spans="1:87" ht="15">
      <c r="A149" s="13">
        <v>30407</v>
      </c>
      <c r="B149" s="12">
        <v>6721.0609999999997</v>
      </c>
      <c r="C149" s="9">
        <v>0</v>
      </c>
      <c r="D149" s="24">
        <v>15314</v>
      </c>
      <c r="E149" s="12">
        <v>53.323</v>
      </c>
      <c r="F149" s="12">
        <v>43.561</v>
      </c>
      <c r="G149" s="12">
        <v>76.346999999999994</v>
      </c>
      <c r="H149" s="34">
        <v>161.1</v>
      </c>
      <c r="I149" s="34">
        <v>3534.2</v>
      </c>
      <c r="J149" s="35">
        <v>52.414999999999999</v>
      </c>
      <c r="K149" s="35">
        <v>57.055999999999997</v>
      </c>
      <c r="L149" s="35">
        <v>74.073999999999998</v>
      </c>
      <c r="M149" s="5">
        <v>6.0842278673901138</v>
      </c>
      <c r="N149" s="5">
        <v>-0.45007269377511161</v>
      </c>
      <c r="O149" s="5">
        <v>-2.0924284614477306</v>
      </c>
      <c r="P149" s="6">
        <v>1</v>
      </c>
      <c r="Q149" s="6">
        <v>0</v>
      </c>
      <c r="R149" s="33">
        <v>1</v>
      </c>
      <c r="S149" s="5">
        <v>-1.2133</v>
      </c>
      <c r="T149" s="26">
        <v>50</v>
      </c>
      <c r="U149">
        <v>0</v>
      </c>
      <c r="V149" s="9">
        <v>-1.5932000000000057E-2</v>
      </c>
      <c r="W149" s="38">
        <v>0</v>
      </c>
      <c r="X149" s="38">
        <v>91.5</v>
      </c>
      <c r="Y149" s="38">
        <v>94.2</v>
      </c>
      <c r="Z149" s="38">
        <v>89.8</v>
      </c>
      <c r="AA149" s="9">
        <v>0.8</v>
      </c>
      <c r="AB149" s="38">
        <v>0</v>
      </c>
      <c r="AC149" s="38">
        <v>5.3967906691043677E-3</v>
      </c>
      <c r="AD149" s="38">
        <v>1</v>
      </c>
      <c r="AE149" s="9">
        <v>9.520561911643588</v>
      </c>
      <c r="AF149" s="38">
        <v>1</v>
      </c>
      <c r="AG149" s="9">
        <v>1.0527701013291306</v>
      </c>
      <c r="AH149" s="41">
        <v>0</v>
      </c>
      <c r="AI149" s="42">
        <v>0.6774454678903552</v>
      </c>
      <c r="AJ149" s="42">
        <v>-0.36193368903860168</v>
      </c>
      <c r="AK149" s="9"/>
      <c r="AM149" s="9"/>
      <c r="AN149" s="9"/>
      <c r="AO149" s="9"/>
      <c r="AP149" s="9"/>
      <c r="AQ149" s="9"/>
      <c r="AR149" s="9"/>
      <c r="AS149" s="9"/>
      <c r="AU149" s="9"/>
      <c r="AV149" s="9"/>
      <c r="AW149" s="15"/>
      <c r="AX149" s="9"/>
      <c r="BC149" s="9"/>
      <c r="BD149" s="9"/>
      <c r="BE149" s="9"/>
      <c r="BF149" s="9"/>
      <c r="BG149" s="9"/>
      <c r="BL149" s="9"/>
      <c r="BM149" s="9"/>
      <c r="BN149" s="9"/>
      <c r="BO149" s="20"/>
      <c r="BP149" s="20"/>
      <c r="BQ149" s="9"/>
      <c r="BR149" s="19"/>
      <c r="BS149" s="21"/>
      <c r="BT149" s="9"/>
      <c r="BW149" s="26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</row>
    <row r="150" spans="1:87" ht="15">
      <c r="A150" s="13">
        <v>30498</v>
      </c>
      <c r="B150" s="12">
        <v>6852.66</v>
      </c>
      <c r="C150" s="9">
        <v>0</v>
      </c>
      <c r="D150" s="24">
        <v>15738</v>
      </c>
      <c r="E150" s="12">
        <v>53.881</v>
      </c>
      <c r="F150" s="12">
        <v>44.738</v>
      </c>
      <c r="G150" s="12">
        <v>77.849000000000004</v>
      </c>
      <c r="H150" s="34">
        <v>168</v>
      </c>
      <c r="I150" s="34">
        <v>3620</v>
      </c>
      <c r="J150" s="35">
        <v>53.104999999999997</v>
      </c>
      <c r="K150" s="35">
        <v>57.468000000000004</v>
      </c>
      <c r="L150" s="35">
        <v>73.777000000000001</v>
      </c>
      <c r="M150" s="5">
        <v>1.4910663706782279</v>
      </c>
      <c r="N150" s="5">
        <v>-4.8789458538980295</v>
      </c>
      <c r="O150" s="5">
        <v>-2.9862753479568935</v>
      </c>
      <c r="P150" s="6">
        <v>1</v>
      </c>
      <c r="Q150" s="6">
        <v>0</v>
      </c>
      <c r="R150" s="33">
        <v>1</v>
      </c>
      <c r="S150" s="5">
        <v>0.5615</v>
      </c>
      <c r="T150" s="26">
        <v>33</v>
      </c>
      <c r="U150">
        <v>0</v>
      </c>
      <c r="V150" s="9">
        <v>-2.9423999999999895E-2</v>
      </c>
      <c r="W150" s="38">
        <v>0</v>
      </c>
      <c r="X150" s="38">
        <v>91.2</v>
      </c>
      <c r="Y150" s="38">
        <v>96</v>
      </c>
      <c r="Z150" s="38">
        <v>88.1</v>
      </c>
      <c r="AA150" s="9">
        <v>1.2</v>
      </c>
      <c r="AB150" s="38">
        <v>0</v>
      </c>
      <c r="AC150" s="38">
        <v>5.6580736038234214E-3</v>
      </c>
      <c r="AD150" s="38">
        <v>1</v>
      </c>
      <c r="AE150" s="9">
        <v>4.2911962829247585</v>
      </c>
      <c r="AF150" s="38">
        <v>1</v>
      </c>
      <c r="AG150" s="9">
        <v>-0.20836046360204818</v>
      </c>
      <c r="AH150" s="41">
        <v>0</v>
      </c>
      <c r="AI150" s="42">
        <v>1.1970115627473361</v>
      </c>
      <c r="AJ150" s="42">
        <v>1.3412762206432329</v>
      </c>
      <c r="AK150" s="9"/>
      <c r="AM150" s="9"/>
      <c r="AN150" s="9"/>
      <c r="AO150" s="9"/>
      <c r="AP150" s="9"/>
      <c r="AQ150" s="9"/>
      <c r="AR150" s="9"/>
      <c r="AS150" s="9"/>
      <c r="AU150" s="9"/>
      <c r="AV150" s="9"/>
      <c r="AW150" s="15"/>
      <c r="AX150" s="9"/>
      <c r="BC150" s="9"/>
      <c r="BD150" s="9"/>
      <c r="BE150" s="9"/>
      <c r="BF150" s="9"/>
      <c r="BG150" s="9"/>
      <c r="BL150" s="9"/>
      <c r="BM150" s="9"/>
      <c r="BN150" s="9"/>
      <c r="BO150" s="20"/>
      <c r="BP150" s="20"/>
      <c r="BQ150" s="9"/>
      <c r="BR150" s="9"/>
      <c r="BS150" s="21"/>
      <c r="BT150" s="9"/>
      <c r="BW150" s="26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</row>
    <row r="151" spans="1:87" ht="15">
      <c r="A151" s="13">
        <v>30590</v>
      </c>
      <c r="B151" s="12">
        <v>6993.9859999999999</v>
      </c>
      <c r="C151" s="9">
        <v>0</v>
      </c>
      <c r="D151" s="24">
        <v>16143</v>
      </c>
      <c r="E151" s="12">
        <v>54.277000000000001</v>
      </c>
      <c r="F151" s="12">
        <v>45.795999999999999</v>
      </c>
      <c r="G151" s="12">
        <v>79.305999999999997</v>
      </c>
      <c r="H151" s="34">
        <v>179.7</v>
      </c>
      <c r="I151" s="34">
        <v>3730</v>
      </c>
      <c r="J151" s="35">
        <v>53.457999999999998</v>
      </c>
      <c r="K151" s="35">
        <v>57.746000000000002</v>
      </c>
      <c r="L151" s="35">
        <v>73.873999999999995</v>
      </c>
      <c r="M151" s="5">
        <v>4.6488144623471275</v>
      </c>
      <c r="N151" s="5">
        <v>0.29560282552008754</v>
      </c>
      <c r="O151" s="5">
        <v>-2.7872583126779071</v>
      </c>
      <c r="P151" s="6">
        <v>1</v>
      </c>
      <c r="Q151" s="6">
        <v>0</v>
      </c>
      <c r="R151" s="33">
        <v>1</v>
      </c>
      <c r="S151" s="5">
        <v>-0.63939999999999997</v>
      </c>
      <c r="T151" s="26">
        <v>33</v>
      </c>
      <c r="U151">
        <v>0</v>
      </c>
      <c r="V151" s="9">
        <v>1.6278999999999932E-2</v>
      </c>
      <c r="W151" s="38">
        <v>0</v>
      </c>
      <c r="X151" s="38">
        <v>91.6</v>
      </c>
      <c r="Y151" s="38">
        <v>96.6</v>
      </c>
      <c r="Z151" s="38">
        <v>88.3</v>
      </c>
      <c r="AA151" s="9">
        <v>1.2</v>
      </c>
      <c r="AB151" s="38">
        <v>0</v>
      </c>
      <c r="AC151" s="38">
        <v>2.174849720992067E-2</v>
      </c>
      <c r="AD151" s="38">
        <v>1</v>
      </c>
      <c r="AE151" s="9">
        <v>4.9269056571815684</v>
      </c>
      <c r="AF151" s="38">
        <v>1</v>
      </c>
      <c r="AG151" s="9">
        <v>1.3832702596894251</v>
      </c>
      <c r="AH151" s="41">
        <v>0</v>
      </c>
      <c r="AI151" s="42">
        <v>0.58515089506712792</v>
      </c>
      <c r="AJ151" s="42">
        <v>0.57377505166852227</v>
      </c>
      <c r="AK151" s="9"/>
      <c r="AM151" s="9"/>
      <c r="AN151" s="9"/>
      <c r="AO151" s="9"/>
      <c r="AP151" s="9"/>
      <c r="AQ151" s="9"/>
      <c r="AR151" s="9"/>
      <c r="AS151" s="9"/>
      <c r="AU151" s="9"/>
      <c r="AV151" s="9"/>
      <c r="AW151" s="15"/>
      <c r="AX151" s="9"/>
      <c r="BC151" s="9"/>
      <c r="BD151" s="9"/>
      <c r="BE151" s="9"/>
      <c r="BF151" s="9"/>
      <c r="BG151" s="9"/>
      <c r="BL151" s="9"/>
      <c r="BM151" s="9"/>
      <c r="BN151" s="9"/>
      <c r="BO151" s="20"/>
      <c r="BP151" s="20"/>
      <c r="BQ151" s="9"/>
      <c r="BR151" s="9"/>
      <c r="BS151" s="21"/>
      <c r="BT151" s="9"/>
      <c r="BW151" s="26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</row>
    <row r="152" spans="1:87" ht="15">
      <c r="A152" s="13">
        <v>30682</v>
      </c>
      <c r="B152" s="12">
        <v>7132.9459999999999</v>
      </c>
      <c r="C152" s="9">
        <v>0</v>
      </c>
      <c r="D152" s="24">
        <v>16607</v>
      </c>
      <c r="E152" s="12">
        <v>54.854999999999997</v>
      </c>
      <c r="F152" s="12">
        <v>46.752000000000002</v>
      </c>
      <c r="G152" s="12">
        <v>80.826999999999998</v>
      </c>
      <c r="H152" s="34">
        <v>198.1</v>
      </c>
      <c r="I152" s="34">
        <v>3874.3</v>
      </c>
      <c r="J152" s="35">
        <v>54.033000000000001</v>
      </c>
      <c r="K152" s="35">
        <v>57.841999999999999</v>
      </c>
      <c r="L152" s="35">
        <v>73.78</v>
      </c>
      <c r="M152" s="5">
        <v>5.079291686637351</v>
      </c>
      <c r="N152" s="5">
        <v>3.8292460528257046</v>
      </c>
      <c r="O152" s="5">
        <v>-2.881216405769957</v>
      </c>
      <c r="P152" s="6">
        <v>1</v>
      </c>
      <c r="Q152" s="6">
        <v>0</v>
      </c>
      <c r="R152" s="33">
        <v>1</v>
      </c>
      <c r="S152" s="5">
        <v>-0.25180000000000002</v>
      </c>
      <c r="T152" s="26">
        <v>37</v>
      </c>
      <c r="U152">
        <v>0</v>
      </c>
      <c r="V152" s="9">
        <v>-0.10605799999999999</v>
      </c>
      <c r="W152" s="38">
        <v>-0.62998739999999998</v>
      </c>
      <c r="X152" s="38">
        <v>99.5</v>
      </c>
      <c r="Y152" s="38">
        <v>105</v>
      </c>
      <c r="Z152" s="38">
        <v>96</v>
      </c>
      <c r="AA152" s="9">
        <v>1</v>
      </c>
      <c r="AB152" s="38">
        <v>0</v>
      </c>
      <c r="AC152" s="38">
        <v>2.838094298405669E-2</v>
      </c>
      <c r="AD152" s="38">
        <v>1</v>
      </c>
      <c r="AE152" s="9">
        <v>7.2124093964305969</v>
      </c>
      <c r="AF152" s="38">
        <v>1</v>
      </c>
      <c r="AG152" s="9">
        <v>1.3257819539194173</v>
      </c>
      <c r="AH152" s="41">
        <v>0</v>
      </c>
      <c r="AI152" s="42">
        <v>1.0001055857813279</v>
      </c>
      <c r="AJ152" s="42">
        <v>0.40159062299982212</v>
      </c>
      <c r="AK152" s="9"/>
      <c r="AM152" s="9"/>
      <c r="AN152" s="9"/>
      <c r="AO152" s="9"/>
      <c r="AP152" s="9"/>
      <c r="AQ152" s="9"/>
      <c r="AR152" s="9"/>
      <c r="AS152" s="9"/>
      <c r="AU152" s="9"/>
      <c r="AV152" s="9"/>
      <c r="AW152" s="15"/>
      <c r="AX152" s="9"/>
      <c r="BC152" s="9"/>
      <c r="BD152" s="9"/>
      <c r="BE152" s="9"/>
      <c r="BF152" s="9"/>
      <c r="BG152" s="9"/>
      <c r="BL152" s="9"/>
      <c r="BM152" s="9"/>
      <c r="BN152" s="9"/>
      <c r="BO152" s="20"/>
      <c r="BP152" s="20"/>
      <c r="BQ152" s="9"/>
      <c r="BR152" s="9"/>
      <c r="BS152" s="21"/>
      <c r="BT152" s="9"/>
      <c r="BW152" s="26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</row>
    <row r="153" spans="1:87" ht="15">
      <c r="A153" s="13">
        <v>30773</v>
      </c>
      <c r="B153" s="12">
        <v>7258.23</v>
      </c>
      <c r="C153" s="9">
        <v>0</v>
      </c>
      <c r="D153" s="24">
        <v>17007</v>
      </c>
      <c r="E153" s="12">
        <v>55.316000000000003</v>
      </c>
      <c r="F153" s="12">
        <v>47.664999999999999</v>
      </c>
      <c r="G153" s="12">
        <v>81.900000000000006</v>
      </c>
      <c r="H153" s="34">
        <v>198.9</v>
      </c>
      <c r="I153" s="34">
        <v>3970</v>
      </c>
      <c r="J153" s="35">
        <v>54.557000000000002</v>
      </c>
      <c r="K153" s="35">
        <v>58.198999999999998</v>
      </c>
      <c r="L153" s="35">
        <v>73.83</v>
      </c>
      <c r="M153" s="5">
        <v>3.3388303405765325</v>
      </c>
      <c r="N153" s="5">
        <v>5.1535728643358141</v>
      </c>
      <c r="O153" s="5">
        <v>-3.392287985852851</v>
      </c>
      <c r="P153" s="6">
        <v>1</v>
      </c>
      <c r="Q153" s="6">
        <v>0</v>
      </c>
      <c r="R153" s="33">
        <v>1</v>
      </c>
      <c r="S153" s="5">
        <v>-0.33100000000000002</v>
      </c>
      <c r="T153" s="26">
        <v>24</v>
      </c>
      <c r="U153">
        <v>0</v>
      </c>
      <c r="V153" s="9">
        <v>0.11803300000000005</v>
      </c>
      <c r="W153" s="38">
        <v>0</v>
      </c>
      <c r="X153" s="38">
        <v>96.6</v>
      </c>
      <c r="Y153" s="38">
        <v>105.9</v>
      </c>
      <c r="Z153" s="38">
        <v>90.6</v>
      </c>
      <c r="AA153" s="9">
        <v>-0.6</v>
      </c>
      <c r="AB153" s="38">
        <v>0</v>
      </c>
      <c r="AC153" s="38">
        <v>9.1021965117612513E-3</v>
      </c>
      <c r="AD153" s="38">
        <v>1</v>
      </c>
      <c r="AE153" s="9">
        <v>7.1060688929160287</v>
      </c>
      <c r="AF153" s="38">
        <v>1</v>
      </c>
      <c r="AG153" s="9">
        <v>-1.5752032520325088</v>
      </c>
      <c r="AH153" s="41">
        <v>0</v>
      </c>
      <c r="AI153" s="42">
        <v>1.040868134363691</v>
      </c>
      <c r="AJ153" s="42">
        <v>0.9653579229821424</v>
      </c>
      <c r="AK153" s="9"/>
      <c r="AM153" s="9"/>
      <c r="AN153" s="9"/>
      <c r="AO153" s="9"/>
      <c r="AP153" s="9"/>
      <c r="AQ153" s="9"/>
      <c r="AR153" s="9"/>
      <c r="AS153" s="9"/>
      <c r="AU153" s="9"/>
      <c r="AV153" s="9"/>
      <c r="AW153" s="15"/>
      <c r="AX153" s="9"/>
      <c r="BC153" s="9"/>
      <c r="BD153" s="9"/>
      <c r="BE153" s="9"/>
      <c r="BF153" s="9"/>
      <c r="BG153" s="9"/>
      <c r="BL153" s="9"/>
      <c r="BM153" s="9"/>
      <c r="BN153" s="9"/>
      <c r="BO153" s="20"/>
      <c r="BP153" s="20"/>
      <c r="BQ153" s="9"/>
      <c r="BR153" s="9"/>
      <c r="BS153" s="21"/>
      <c r="BT153" s="9"/>
      <c r="BW153" s="26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</row>
    <row r="154" spans="1:87" ht="15">
      <c r="A154" s="13">
        <v>30864</v>
      </c>
      <c r="B154" s="12">
        <v>7329.6419999999998</v>
      </c>
      <c r="C154" s="9">
        <v>0</v>
      </c>
      <c r="D154" s="24">
        <v>17271</v>
      </c>
      <c r="E154" s="12">
        <v>55.765000000000001</v>
      </c>
      <c r="F154" s="12">
        <v>48.088000000000001</v>
      </c>
      <c r="G154" s="12">
        <v>82.275999999999996</v>
      </c>
      <c r="H154" s="34">
        <v>204.7</v>
      </c>
      <c r="I154" s="34">
        <v>4046.3</v>
      </c>
      <c r="J154" s="35">
        <v>54.98</v>
      </c>
      <c r="K154" s="35">
        <v>58.448</v>
      </c>
      <c r="L154" s="35">
        <v>74.302000000000007</v>
      </c>
      <c r="M154" s="5">
        <v>0.38189662451013995</v>
      </c>
      <c r="N154" s="5">
        <v>4.126854018581553</v>
      </c>
      <c r="O154" s="5">
        <v>-3.5956104880856188</v>
      </c>
      <c r="P154" s="6">
        <v>1</v>
      </c>
      <c r="Q154" s="6">
        <v>0</v>
      </c>
      <c r="R154" s="33">
        <v>1</v>
      </c>
      <c r="S154" s="5">
        <v>0.65539999999999998</v>
      </c>
      <c r="T154" s="26">
        <v>21</v>
      </c>
      <c r="U154">
        <v>0</v>
      </c>
      <c r="V154" s="9">
        <v>3.4162999999999943E-2</v>
      </c>
      <c r="W154" s="38">
        <v>0.20109597300000001</v>
      </c>
      <c r="X154" s="38">
        <v>98.9</v>
      </c>
      <c r="Y154" s="38">
        <v>106.4</v>
      </c>
      <c r="Z154" s="38">
        <v>94</v>
      </c>
      <c r="AA154" s="9">
        <v>0.5</v>
      </c>
      <c r="AB154" s="38">
        <v>0</v>
      </c>
      <c r="AC154" s="38">
        <v>2.1162508658650658E-2</v>
      </c>
      <c r="AD154" s="38">
        <v>1</v>
      </c>
      <c r="AE154" s="9">
        <v>1.7129271040070115</v>
      </c>
      <c r="AF154" s="38">
        <v>1</v>
      </c>
      <c r="AG154" s="9">
        <v>2.7232834279814</v>
      </c>
      <c r="AH154" s="41">
        <v>0</v>
      </c>
      <c r="AI154" s="42">
        <v>1.163662894971311</v>
      </c>
      <c r="AJ154" s="42">
        <v>0.83242422014217832</v>
      </c>
      <c r="AK154" s="9"/>
      <c r="AM154" s="9"/>
      <c r="AN154" s="9"/>
      <c r="AO154" s="9"/>
      <c r="AP154" s="9"/>
      <c r="AQ154" s="9"/>
      <c r="AR154" s="9"/>
      <c r="AS154" s="9"/>
      <c r="AU154" s="9"/>
      <c r="AV154" s="9"/>
      <c r="AW154" s="15"/>
      <c r="AX154" s="9"/>
      <c r="BC154" s="9"/>
      <c r="BD154" s="9"/>
      <c r="BE154" s="9"/>
      <c r="BF154" s="9"/>
      <c r="BG154" s="9"/>
      <c r="BL154" s="9"/>
      <c r="BM154" s="9"/>
      <c r="BN154" s="9"/>
      <c r="BO154" s="20"/>
      <c r="BP154" s="20"/>
      <c r="BQ154" s="9"/>
      <c r="BR154" s="9"/>
      <c r="BS154" s="21"/>
      <c r="BT154" s="9"/>
      <c r="BW154" s="26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</row>
    <row r="155" spans="1:87" ht="15">
      <c r="A155" s="13">
        <v>30956</v>
      </c>
      <c r="B155" s="12">
        <v>7388.1009999999997</v>
      </c>
      <c r="C155" s="9">
        <v>0</v>
      </c>
      <c r="D155" s="24">
        <v>17483</v>
      </c>
      <c r="E155" s="12">
        <v>56.139000000000003</v>
      </c>
      <c r="F155" s="12">
        <v>48.436</v>
      </c>
      <c r="G155" s="12">
        <v>82.819000000000003</v>
      </c>
      <c r="H155" s="34">
        <v>213.5</v>
      </c>
      <c r="I155" s="34">
        <v>4117.6000000000004</v>
      </c>
      <c r="J155" s="35">
        <v>55.322000000000003</v>
      </c>
      <c r="K155" s="35">
        <v>58.484000000000002</v>
      </c>
      <c r="L155" s="35">
        <v>74.236000000000004</v>
      </c>
      <c r="M155" s="5">
        <v>-0.33242158845595193</v>
      </c>
      <c r="N155" s="5">
        <v>3.8806570355477574</v>
      </c>
      <c r="O155" s="5">
        <v>-3.9037817079428043</v>
      </c>
      <c r="P155" s="6">
        <v>1</v>
      </c>
      <c r="Q155" s="6">
        <v>0</v>
      </c>
      <c r="R155" s="33">
        <v>1</v>
      </c>
      <c r="S155" s="5">
        <v>0.58040000000000003</v>
      </c>
      <c r="T155" s="26">
        <v>25</v>
      </c>
      <c r="U155">
        <v>0</v>
      </c>
      <c r="V155" s="9">
        <v>3.7714999999999943E-2</v>
      </c>
      <c r="W155" s="38">
        <v>0</v>
      </c>
      <c r="X155" s="38">
        <v>95</v>
      </c>
      <c r="Y155" s="38">
        <v>102.2</v>
      </c>
      <c r="Z155" s="38">
        <v>90.3</v>
      </c>
      <c r="AA155" s="9">
        <v>1.5</v>
      </c>
      <c r="AB155" s="38">
        <v>0</v>
      </c>
      <c r="AC155" s="38">
        <v>-2.9203901248203712E-3</v>
      </c>
      <c r="AD155" s="38">
        <v>1</v>
      </c>
      <c r="AE155" s="9">
        <v>6.9578851478395265</v>
      </c>
      <c r="AF155" s="38">
        <v>0</v>
      </c>
      <c r="AG155" s="9">
        <v>0.8418142982786776</v>
      </c>
      <c r="AH155" s="41">
        <v>0</v>
      </c>
      <c r="AI155" s="42">
        <v>0.82937046621136867</v>
      </c>
      <c r="AJ155" s="42">
        <v>0.81191474857459234</v>
      </c>
      <c r="AK155" s="9"/>
      <c r="AM155" s="9"/>
      <c r="AN155" s="9"/>
      <c r="AO155" s="9"/>
      <c r="AP155" s="9"/>
      <c r="AQ155" s="9"/>
      <c r="AR155" s="9"/>
      <c r="AS155" s="9"/>
      <c r="AU155" s="9"/>
      <c r="AV155" s="9"/>
      <c r="AW155" s="15"/>
      <c r="AX155" s="9"/>
      <c r="BC155" s="9"/>
      <c r="BD155" s="9"/>
      <c r="BE155" s="9"/>
      <c r="BF155" s="9"/>
      <c r="BG155" s="9"/>
      <c r="BL155" s="9"/>
      <c r="BM155" s="9"/>
      <c r="BN155" s="9"/>
      <c r="BO155" s="20"/>
      <c r="BP155" s="20"/>
      <c r="BQ155" s="9"/>
      <c r="BR155" s="9"/>
      <c r="BS155" s="21"/>
      <c r="BT155" s="9"/>
      <c r="BW155" s="26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</row>
    <row r="156" spans="1:87" ht="15">
      <c r="A156" s="13">
        <v>31048</v>
      </c>
      <c r="B156" s="12">
        <v>7461.5379999999996</v>
      </c>
      <c r="C156" s="9">
        <v>0</v>
      </c>
      <c r="D156" s="24">
        <v>17827</v>
      </c>
      <c r="E156" s="12">
        <v>56.784999999999997</v>
      </c>
      <c r="F156" s="12">
        <v>48.912999999999997</v>
      </c>
      <c r="G156" s="12">
        <v>83.495999999999995</v>
      </c>
      <c r="H156" s="34">
        <v>213.7</v>
      </c>
      <c r="I156" s="34">
        <v>4201.8</v>
      </c>
      <c r="J156" s="35">
        <v>55.984000000000002</v>
      </c>
      <c r="K156" s="35">
        <v>58.581000000000003</v>
      </c>
      <c r="L156" s="35">
        <v>74.545000000000002</v>
      </c>
      <c r="M156" s="5">
        <v>1.6652200433531235</v>
      </c>
      <c r="N156" s="5">
        <v>5.070691066667127</v>
      </c>
      <c r="O156" s="5">
        <v>-2.9870838622878764</v>
      </c>
      <c r="P156" s="6">
        <v>1</v>
      </c>
      <c r="Q156" s="6">
        <v>0</v>
      </c>
      <c r="R156" s="33">
        <v>1</v>
      </c>
      <c r="S156" s="5">
        <v>-0.69820000000000004</v>
      </c>
      <c r="T156" s="26">
        <v>33</v>
      </c>
      <c r="U156">
        <v>0</v>
      </c>
      <c r="V156" s="9">
        <v>1.2604999999999977E-2</v>
      </c>
      <c r="W156" s="38">
        <v>0.213618158</v>
      </c>
      <c r="X156" s="38">
        <v>94.5</v>
      </c>
      <c r="Y156" s="38">
        <v>104.6</v>
      </c>
      <c r="Z156" s="38">
        <v>88</v>
      </c>
      <c r="AA156" s="9">
        <v>1.2</v>
      </c>
      <c r="AB156" s="38">
        <v>0</v>
      </c>
      <c r="AC156" s="38">
        <v>1.7331120779118248E-2</v>
      </c>
      <c r="AD156" s="38">
        <v>1</v>
      </c>
      <c r="AE156" s="9">
        <v>5.62033311966188</v>
      </c>
      <c r="AF156" s="38">
        <v>0</v>
      </c>
      <c r="AG156" s="9">
        <v>-0.54821829055570959</v>
      </c>
      <c r="AH156" s="41">
        <v>0</v>
      </c>
      <c r="AI156" s="42">
        <v>0.42995693969947241</v>
      </c>
      <c r="AJ156" s="42">
        <v>0.33204535550653291</v>
      </c>
      <c r="AK156" s="9"/>
      <c r="AM156" s="9"/>
      <c r="AN156" s="9"/>
      <c r="AO156" s="9"/>
      <c r="AP156" s="9"/>
      <c r="AQ156" s="9"/>
      <c r="AR156" s="9"/>
      <c r="AS156" s="9"/>
      <c r="AU156" s="9"/>
      <c r="AV156" s="9"/>
      <c r="AW156" s="15"/>
      <c r="AX156" s="9"/>
      <c r="BC156" s="9"/>
      <c r="BD156" s="9"/>
      <c r="BE156" s="9"/>
      <c r="BF156" s="9"/>
      <c r="BG156" s="9"/>
      <c r="BL156" s="9"/>
      <c r="BM156" s="9"/>
      <c r="BN156" s="9"/>
      <c r="BO156" s="20"/>
      <c r="BP156" s="20"/>
      <c r="BQ156" s="9"/>
      <c r="BR156" s="9"/>
      <c r="BS156" s="21"/>
      <c r="BT156" s="9"/>
      <c r="BW156" s="26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</row>
    <row r="157" spans="1:87" ht="15">
      <c r="A157" s="13">
        <v>31138</v>
      </c>
      <c r="B157" s="12">
        <v>7529.86</v>
      </c>
      <c r="C157" s="9">
        <v>0</v>
      </c>
      <c r="D157" s="24">
        <v>18063</v>
      </c>
      <c r="E157" s="12">
        <v>57.136000000000003</v>
      </c>
      <c r="F157" s="12">
        <v>49.396000000000001</v>
      </c>
      <c r="G157" s="12">
        <v>84.037000000000006</v>
      </c>
      <c r="H157" s="34">
        <v>214.6</v>
      </c>
      <c r="I157" s="34">
        <v>4258.6000000000004</v>
      </c>
      <c r="J157" s="35">
        <v>56.456000000000003</v>
      </c>
      <c r="K157" s="35">
        <v>58.779000000000003</v>
      </c>
      <c r="L157" s="35">
        <v>74.596999999999994</v>
      </c>
      <c r="M157" s="5">
        <v>-0.91912423498183327</v>
      </c>
      <c r="N157" s="5">
        <v>0.94948223250869324</v>
      </c>
      <c r="O157" s="5">
        <v>-4.1929184959469232</v>
      </c>
      <c r="P157" s="6">
        <v>1</v>
      </c>
      <c r="Q157" s="6">
        <v>0</v>
      </c>
      <c r="R157" s="33">
        <v>1</v>
      </c>
      <c r="S157" s="5">
        <v>0.95509999999999995</v>
      </c>
      <c r="T157" s="26">
        <v>39</v>
      </c>
      <c r="U157">
        <v>0</v>
      </c>
      <c r="V157" s="9">
        <v>-2.5239999999999707E-3</v>
      </c>
      <c r="W157" s="38">
        <v>0</v>
      </c>
      <c r="X157" s="38">
        <v>94.3</v>
      </c>
      <c r="Y157" s="38">
        <v>105.1</v>
      </c>
      <c r="Z157" s="38">
        <v>87.4</v>
      </c>
      <c r="AA157" s="9">
        <v>1.6</v>
      </c>
      <c r="AB157" s="38">
        <v>0</v>
      </c>
      <c r="AC157" s="38">
        <v>3.229865267630605E-2</v>
      </c>
      <c r="AD157" s="38">
        <v>1</v>
      </c>
      <c r="AE157" s="9">
        <v>1.1280754593595121</v>
      </c>
      <c r="AF157" s="38">
        <v>0</v>
      </c>
      <c r="AG157" s="9">
        <v>1.0022550739163307</v>
      </c>
      <c r="AH157" s="41">
        <v>0</v>
      </c>
      <c r="AI157" s="42">
        <v>0.62597444047907624</v>
      </c>
      <c r="AJ157" s="42">
        <v>1.142431872886714</v>
      </c>
      <c r="AK157" s="9"/>
      <c r="AM157" s="9"/>
      <c r="AN157" s="9"/>
      <c r="AO157" s="9"/>
      <c r="AP157" s="9"/>
      <c r="AQ157" s="9"/>
      <c r="AR157" s="9"/>
      <c r="AS157" s="9"/>
      <c r="AU157" s="9"/>
      <c r="AV157" s="9"/>
      <c r="AW157" s="15"/>
      <c r="AX157" s="9"/>
      <c r="BC157" s="9"/>
      <c r="BD157" s="9"/>
      <c r="BE157" s="9"/>
      <c r="BF157" s="9"/>
      <c r="BG157" s="9"/>
      <c r="BL157" s="9"/>
      <c r="BM157" s="9"/>
      <c r="BN157" s="9"/>
      <c r="BO157" s="20"/>
      <c r="BP157" s="20"/>
      <c r="BQ157" s="9"/>
      <c r="BR157" s="9"/>
      <c r="BS157" s="21"/>
      <c r="BT157" s="9"/>
      <c r="BW157" s="26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</row>
    <row r="158" spans="1:87" ht="15">
      <c r="A158" s="13">
        <v>31229</v>
      </c>
      <c r="B158" s="12">
        <v>7647.0159999999996</v>
      </c>
      <c r="C158" s="9">
        <v>0</v>
      </c>
      <c r="D158" s="24">
        <v>18404</v>
      </c>
      <c r="E158" s="12">
        <v>57.468000000000004</v>
      </c>
      <c r="F158" s="12">
        <v>50.164000000000001</v>
      </c>
      <c r="G158" s="12">
        <v>84.265000000000001</v>
      </c>
      <c r="H158" s="34">
        <v>230.8</v>
      </c>
      <c r="I158" s="34">
        <v>4335.8</v>
      </c>
      <c r="J158" s="35">
        <v>56.905000000000001</v>
      </c>
      <c r="K158" s="35">
        <v>59.530999999999999</v>
      </c>
      <c r="L158" s="35">
        <v>75.227000000000004</v>
      </c>
      <c r="M158" s="5">
        <v>4.2088310290243838</v>
      </c>
      <c r="N158" s="5">
        <v>4.8291145415266392</v>
      </c>
      <c r="O158" s="5">
        <v>-3.7446270219196292</v>
      </c>
      <c r="P158" s="6">
        <v>1</v>
      </c>
      <c r="Q158" s="6">
        <v>0</v>
      </c>
      <c r="R158" s="33">
        <v>1</v>
      </c>
      <c r="S158" s="5">
        <v>0.54390000000000005</v>
      </c>
      <c r="T158" s="26">
        <v>26</v>
      </c>
      <c r="U158">
        <v>0</v>
      </c>
      <c r="V158" s="9">
        <v>-2.1608999999999989E-2</v>
      </c>
      <c r="W158" s="38">
        <v>0</v>
      </c>
      <c r="X158" s="38">
        <v>92.8</v>
      </c>
      <c r="Y158" s="38">
        <v>103.5</v>
      </c>
      <c r="Z158" s="38">
        <v>85.9</v>
      </c>
      <c r="AA158" s="9">
        <v>0</v>
      </c>
      <c r="AB158" s="38">
        <v>0</v>
      </c>
      <c r="AC158" s="38">
        <v>2.0603913248769645E-2</v>
      </c>
      <c r="AD158" s="38">
        <v>1</v>
      </c>
      <c r="AE158" s="9">
        <v>6.3412248626604883</v>
      </c>
      <c r="AF158" s="38">
        <v>0</v>
      </c>
      <c r="AG158" s="9">
        <v>1.3024063507814532</v>
      </c>
      <c r="AH158" s="41">
        <v>0</v>
      </c>
      <c r="AI158" s="42">
        <v>0.64212299490721214</v>
      </c>
      <c r="AJ158" s="42">
        <v>0.61392284799513963</v>
      </c>
      <c r="AK158" s="9"/>
      <c r="AM158" s="9"/>
      <c r="AN158" s="9"/>
      <c r="AO158" s="9"/>
      <c r="AP158" s="9"/>
      <c r="AQ158" s="9"/>
      <c r="AR158" s="9"/>
      <c r="AS158" s="9"/>
      <c r="AU158" s="9"/>
      <c r="AV158" s="9"/>
      <c r="AW158" s="15"/>
      <c r="AX158" s="9"/>
      <c r="BC158" s="9"/>
      <c r="BD158" s="9"/>
      <c r="BE158" s="9"/>
      <c r="BF158" s="9"/>
      <c r="BG158" s="9"/>
      <c r="BL158" s="9"/>
      <c r="BM158" s="9"/>
      <c r="BN158" s="9"/>
      <c r="BO158" s="20"/>
      <c r="BP158" s="20"/>
      <c r="BQ158" s="9"/>
      <c r="BR158" s="19"/>
      <c r="BS158" s="21"/>
      <c r="BT158" s="9"/>
      <c r="BW158" s="26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</row>
    <row r="159" spans="1:87" ht="15">
      <c r="A159" s="13">
        <v>31321</v>
      </c>
      <c r="B159" s="12">
        <v>7704.3819999999996</v>
      </c>
      <c r="C159" s="9">
        <v>0</v>
      </c>
      <c r="D159" s="24">
        <v>18602</v>
      </c>
      <c r="E159" s="12">
        <v>57.8</v>
      </c>
      <c r="F159" s="12">
        <v>50.621000000000002</v>
      </c>
      <c r="G159" s="12">
        <v>84.662999999999997</v>
      </c>
      <c r="H159" s="34">
        <v>208.8</v>
      </c>
      <c r="I159" s="34">
        <v>4385.6000000000004</v>
      </c>
      <c r="J159" s="35">
        <v>57.295999999999999</v>
      </c>
      <c r="K159" s="35">
        <v>59.790999999999997</v>
      </c>
      <c r="L159" s="35">
        <v>75.932000000000002</v>
      </c>
      <c r="M159" s="5">
        <v>-2.8834122017791258E-2</v>
      </c>
      <c r="N159" s="5">
        <v>-4.3453477515036705E-2</v>
      </c>
      <c r="O159" s="5">
        <v>-3.8788912181038477</v>
      </c>
      <c r="P159" s="6">
        <v>1</v>
      </c>
      <c r="Q159" s="6">
        <v>0</v>
      </c>
      <c r="R159" s="33">
        <v>1</v>
      </c>
      <c r="S159" s="5">
        <v>-0.51080000000000003</v>
      </c>
      <c r="T159" s="26">
        <v>19</v>
      </c>
      <c r="U159">
        <v>0</v>
      </c>
      <c r="V159" s="9">
        <v>-8.8201999999999892E-2</v>
      </c>
      <c r="W159" s="38">
        <v>0</v>
      </c>
      <c r="X159" s="38">
        <v>91</v>
      </c>
      <c r="Y159" s="38">
        <v>101.3</v>
      </c>
      <c r="Z159" s="38">
        <v>84.4</v>
      </c>
      <c r="AA159" s="9">
        <v>0.7</v>
      </c>
      <c r="AB159" s="38">
        <v>0</v>
      </c>
      <c r="AC159" s="38">
        <v>1.9931972626788586E-2</v>
      </c>
      <c r="AD159" s="38">
        <v>1</v>
      </c>
      <c r="AE159" s="9">
        <v>6.9583641134202123</v>
      </c>
      <c r="AF159" s="38">
        <v>0</v>
      </c>
      <c r="AG159" s="9">
        <v>0.59997551120360981</v>
      </c>
      <c r="AH159" s="41">
        <v>0</v>
      </c>
      <c r="AI159" s="42">
        <v>0.57219636730765067</v>
      </c>
      <c r="AJ159" s="42">
        <v>0.75670801285874512</v>
      </c>
      <c r="AK159" s="9"/>
      <c r="AM159" s="9"/>
      <c r="AN159" s="9"/>
      <c r="AO159" s="9"/>
      <c r="AP159" s="9"/>
      <c r="AQ159" s="9"/>
      <c r="AR159" s="9"/>
      <c r="AS159" s="9"/>
      <c r="AU159" s="9"/>
      <c r="AV159" s="9"/>
      <c r="AW159" s="15"/>
      <c r="AX159" s="9"/>
      <c r="BC159" s="9"/>
      <c r="BD159" s="9"/>
      <c r="BE159" s="9"/>
      <c r="BF159" s="9"/>
      <c r="BG159" s="9"/>
      <c r="BL159" s="9"/>
      <c r="BM159" s="9"/>
      <c r="BN159" s="9"/>
      <c r="BO159" s="20"/>
      <c r="BP159" s="20"/>
      <c r="BQ159" s="9"/>
      <c r="BR159" s="9"/>
      <c r="BS159" s="21"/>
      <c r="BT159" s="9"/>
      <c r="BW159" s="26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</row>
    <row r="160" spans="1:87" ht="15">
      <c r="A160" s="13">
        <v>31413</v>
      </c>
      <c r="B160" s="12">
        <v>7775.7610000000004</v>
      </c>
      <c r="C160" s="9">
        <v>0</v>
      </c>
      <c r="D160" s="24">
        <v>18829</v>
      </c>
      <c r="E160" s="12">
        <v>58.082000000000001</v>
      </c>
      <c r="F160" s="12">
        <v>51.143999999999998</v>
      </c>
      <c r="G160" s="12">
        <v>84.543000000000006</v>
      </c>
      <c r="H160" s="34">
        <v>192.3</v>
      </c>
      <c r="I160" s="34">
        <v>4451.8999999999996</v>
      </c>
      <c r="J160" s="35">
        <v>57.706000000000003</v>
      </c>
      <c r="K160" s="35">
        <v>60.494999999999997</v>
      </c>
      <c r="L160" s="35">
        <v>76.656999999999996</v>
      </c>
      <c r="M160" s="5">
        <v>2.7191870380057952</v>
      </c>
      <c r="N160" s="5">
        <v>2.6984506569084328</v>
      </c>
      <c r="O160" s="5">
        <v>-3.847797815179546</v>
      </c>
      <c r="P160" s="6">
        <v>1</v>
      </c>
      <c r="Q160" s="6">
        <v>0</v>
      </c>
      <c r="R160" s="33">
        <v>1</v>
      </c>
      <c r="S160" s="5">
        <v>-0.1166</v>
      </c>
      <c r="T160" s="26">
        <v>45</v>
      </c>
      <c r="U160">
        <v>0</v>
      </c>
      <c r="V160" s="9">
        <v>4.246799999999995E-2</v>
      </c>
      <c r="W160" s="38">
        <v>9.5767967999999995E-2</v>
      </c>
      <c r="X160" s="38">
        <v>95.5</v>
      </c>
      <c r="Y160" s="38">
        <v>109.3</v>
      </c>
      <c r="Z160" s="38">
        <v>86.7</v>
      </c>
      <c r="AA160" s="9">
        <v>1.7</v>
      </c>
      <c r="AB160" s="38">
        <v>0</v>
      </c>
      <c r="AC160" s="38">
        <v>7.1223239625561874E-3</v>
      </c>
      <c r="AD160" s="38">
        <v>1</v>
      </c>
      <c r="AE160" s="9">
        <v>-1.3707960160268984</v>
      </c>
      <c r="AF160" s="38">
        <v>0</v>
      </c>
      <c r="AG160" s="9">
        <v>-0.57205452775073695</v>
      </c>
      <c r="AH160" s="41">
        <v>0</v>
      </c>
      <c r="AI160" s="42">
        <v>0.24892475592964411</v>
      </c>
      <c r="AJ160" s="42">
        <v>-0.27041763750927522</v>
      </c>
      <c r="AK160" s="9"/>
      <c r="AM160" s="9"/>
      <c r="AN160" s="9"/>
      <c r="AO160" s="9"/>
      <c r="AP160" s="9"/>
      <c r="AQ160" s="9"/>
      <c r="AR160" s="9"/>
      <c r="AS160" s="9"/>
      <c r="AU160" s="9"/>
      <c r="AV160" s="9"/>
      <c r="AW160" s="15"/>
      <c r="AX160" s="9"/>
      <c r="BC160" s="9"/>
      <c r="BD160" s="9"/>
      <c r="BE160" s="9"/>
      <c r="BF160" s="9"/>
      <c r="BG160" s="9"/>
      <c r="BL160" s="9"/>
      <c r="BM160" s="9"/>
      <c r="BN160" s="9"/>
      <c r="BO160" s="20"/>
      <c r="BP160" s="20"/>
      <c r="BQ160" s="9"/>
      <c r="BR160" s="9"/>
      <c r="BS160" s="21"/>
      <c r="BT160" s="9"/>
      <c r="BW160" s="26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</row>
    <row r="161" spans="1:87" ht="15">
      <c r="A161" s="13">
        <v>31503</v>
      </c>
      <c r="B161" s="12">
        <v>7811.4620000000004</v>
      </c>
      <c r="C161" s="9">
        <v>0</v>
      </c>
      <c r="D161" s="24">
        <v>18951</v>
      </c>
      <c r="E161" s="12">
        <v>58.314999999999998</v>
      </c>
      <c r="F161" s="12">
        <v>51.417000000000002</v>
      </c>
      <c r="G161" s="12">
        <v>84.343999999999994</v>
      </c>
      <c r="H161" s="34">
        <v>181.8</v>
      </c>
      <c r="I161" s="34">
        <v>4481.5</v>
      </c>
      <c r="J161" s="35">
        <v>57.636000000000003</v>
      </c>
      <c r="K161" s="35">
        <v>60.960999999999999</v>
      </c>
      <c r="L161" s="35">
        <v>77.903999999999996</v>
      </c>
      <c r="M161" s="5">
        <v>0.13031498221530979</v>
      </c>
      <c r="N161" s="5">
        <v>0.34301288795477702</v>
      </c>
      <c r="O161" s="5">
        <v>-4.1953074499101257</v>
      </c>
      <c r="P161" s="6">
        <v>1</v>
      </c>
      <c r="Q161" s="6">
        <v>0</v>
      </c>
      <c r="R161" s="33">
        <v>1</v>
      </c>
      <c r="S161" s="5">
        <v>-0.48039999999999999</v>
      </c>
      <c r="T161" s="26">
        <v>44</v>
      </c>
      <c r="U161">
        <v>0</v>
      </c>
      <c r="V161" s="9">
        <v>-9.1790000000000038E-2</v>
      </c>
      <c r="W161" s="38">
        <v>0</v>
      </c>
      <c r="X161" s="38">
        <v>96.8</v>
      </c>
      <c r="Y161" s="38">
        <v>109.2</v>
      </c>
      <c r="Z161" s="38">
        <v>88.8</v>
      </c>
      <c r="AA161" s="9">
        <v>1.2</v>
      </c>
      <c r="AB161" s="38">
        <v>0</v>
      </c>
      <c r="AC161" s="38">
        <v>4.7606334976107778E-2</v>
      </c>
      <c r="AD161" s="38">
        <v>1</v>
      </c>
      <c r="AE161" s="9">
        <v>3.5476336486529592</v>
      </c>
      <c r="AF161" s="38">
        <v>0</v>
      </c>
      <c r="AG161" s="9">
        <v>1.150691639123508</v>
      </c>
      <c r="AH161" s="41">
        <v>0</v>
      </c>
      <c r="AI161" s="42">
        <v>1.550721597233242</v>
      </c>
      <c r="AJ161" s="42">
        <v>1.658400870029479</v>
      </c>
      <c r="AK161" s="9"/>
      <c r="AM161" s="9"/>
      <c r="AN161" s="9"/>
      <c r="AO161" s="9"/>
      <c r="AP161" s="9"/>
      <c r="AQ161" s="9"/>
      <c r="AR161" s="9"/>
      <c r="AS161" s="9"/>
      <c r="AU161" s="9"/>
      <c r="AV161" s="9"/>
      <c r="AW161" s="15"/>
      <c r="AX161" s="9"/>
      <c r="BC161" s="9"/>
      <c r="BD161" s="9"/>
      <c r="BE161" s="9"/>
      <c r="BF161" s="9"/>
      <c r="BG161" s="9"/>
      <c r="BL161" s="9"/>
      <c r="BM161" s="9"/>
      <c r="BN161" s="9"/>
      <c r="BO161" s="20"/>
      <c r="BP161" s="20"/>
      <c r="BQ161" s="9"/>
      <c r="BR161" s="9"/>
      <c r="BS161" s="21"/>
      <c r="BT161" s="9"/>
      <c r="BW161" s="26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</row>
    <row r="162" spans="1:87" ht="15">
      <c r="A162" s="13">
        <v>31594</v>
      </c>
      <c r="B162" s="12">
        <v>7890.0929999999998</v>
      </c>
      <c r="C162" s="9">
        <v>0</v>
      </c>
      <c r="D162" s="24">
        <v>19172</v>
      </c>
      <c r="E162" s="12">
        <v>58.55</v>
      </c>
      <c r="F162" s="12">
        <v>51.927</v>
      </c>
      <c r="G162" s="12">
        <v>84.77</v>
      </c>
      <c r="H162" s="34">
        <v>168.9</v>
      </c>
      <c r="I162" s="34">
        <v>4529.5</v>
      </c>
      <c r="J162" s="35">
        <v>57.929000000000002</v>
      </c>
      <c r="K162" s="35">
        <v>61.256</v>
      </c>
      <c r="L162" s="35">
        <v>78.417000000000002</v>
      </c>
      <c r="M162" s="5">
        <v>0.80631382172576338</v>
      </c>
      <c r="N162" s="5">
        <v>1.0789899970639452</v>
      </c>
      <c r="O162" s="5">
        <v>-4.3063743989042651</v>
      </c>
      <c r="P162" s="6">
        <v>1</v>
      </c>
      <c r="Q162" s="6">
        <v>0</v>
      </c>
      <c r="R162" s="33">
        <v>1</v>
      </c>
      <c r="S162" s="5">
        <v>-0.44090000000000001</v>
      </c>
      <c r="T162" s="26">
        <v>42</v>
      </c>
      <c r="U162">
        <v>0</v>
      </c>
      <c r="V162" s="9">
        <v>-8.6260000000000225E-3</v>
      </c>
      <c r="W162" s="38">
        <v>0</v>
      </c>
      <c r="X162" s="38">
        <v>94.9</v>
      </c>
      <c r="Y162" s="38">
        <v>109.8</v>
      </c>
      <c r="Z162" s="38">
        <v>85.3</v>
      </c>
      <c r="AA162" s="9">
        <v>0.6</v>
      </c>
      <c r="AB162" s="38">
        <v>0</v>
      </c>
      <c r="AC162" s="38">
        <v>2.0351260674105642E-2</v>
      </c>
      <c r="AD162" s="38">
        <v>1</v>
      </c>
      <c r="AE162" s="9">
        <v>1.0652834993293947</v>
      </c>
      <c r="AF162" s="38">
        <v>0</v>
      </c>
      <c r="AG162" s="9">
        <v>0.73823066682803073</v>
      </c>
      <c r="AH162" s="41">
        <v>0</v>
      </c>
      <c r="AI162" s="42">
        <v>1.1137144789093369</v>
      </c>
      <c r="AJ162" s="42">
        <v>1.040205620372608</v>
      </c>
      <c r="AK162" s="9"/>
      <c r="AM162" s="9"/>
      <c r="AN162" s="9"/>
      <c r="AO162" s="9"/>
      <c r="AP162" s="9"/>
      <c r="AQ162" s="9"/>
      <c r="AR162" s="9"/>
      <c r="AS162" s="9"/>
      <c r="AU162" s="9"/>
      <c r="AV162" s="9"/>
      <c r="AW162" s="15"/>
      <c r="AX162" s="9"/>
      <c r="BC162" s="9"/>
      <c r="BD162" s="9"/>
      <c r="BE162" s="9"/>
      <c r="BF162" s="9"/>
      <c r="BG162" s="9"/>
      <c r="BL162" s="9"/>
      <c r="BM162" s="9"/>
      <c r="BN162" s="9"/>
      <c r="BO162" s="20"/>
      <c r="BP162" s="20"/>
      <c r="BQ162" s="9"/>
      <c r="BR162" s="9"/>
      <c r="BS162" s="21"/>
      <c r="BT162" s="9"/>
      <c r="BW162" s="26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</row>
    <row r="163" spans="1:87" ht="15">
      <c r="A163" s="13">
        <v>31686</v>
      </c>
      <c r="B163" s="12">
        <v>7930.97</v>
      </c>
      <c r="C163" s="9">
        <v>0</v>
      </c>
      <c r="D163" s="24">
        <v>19332</v>
      </c>
      <c r="E163" s="12">
        <v>58.875</v>
      </c>
      <c r="F163" s="12">
        <v>52.192999999999998</v>
      </c>
      <c r="G163" s="12">
        <v>85.412999999999997</v>
      </c>
      <c r="H163" s="34">
        <v>158</v>
      </c>
      <c r="I163" s="34">
        <v>4590.7</v>
      </c>
      <c r="J163" s="35">
        <v>58.274000000000001</v>
      </c>
      <c r="K163" s="35">
        <v>61.106999999999999</v>
      </c>
      <c r="L163" s="35">
        <v>78.94</v>
      </c>
      <c r="M163" s="5">
        <v>-1.1436317676731784</v>
      </c>
      <c r="N163" s="5">
        <v>-1.269997285643669</v>
      </c>
      <c r="O163" s="5">
        <v>-3.4300105523894135</v>
      </c>
      <c r="P163" s="6">
        <v>1</v>
      </c>
      <c r="Q163" s="6">
        <v>0</v>
      </c>
      <c r="R163" s="33">
        <v>1</v>
      </c>
      <c r="S163" s="5">
        <v>0.69530000000000003</v>
      </c>
      <c r="T163" s="26">
        <v>21</v>
      </c>
      <c r="U163">
        <v>-1.9905156839380263E-2</v>
      </c>
      <c r="V163" s="9">
        <v>-2.0365999999999884E-2</v>
      </c>
      <c r="W163" s="38">
        <v>0.499329095</v>
      </c>
      <c r="X163" s="38">
        <v>92</v>
      </c>
      <c r="Y163" s="38">
        <v>107.1</v>
      </c>
      <c r="Z163" s="38">
        <v>82.4</v>
      </c>
      <c r="AA163" s="9">
        <v>1.8</v>
      </c>
      <c r="AB163" s="38">
        <v>0</v>
      </c>
      <c r="AC163" s="38">
        <v>5.1948761027336143E-3</v>
      </c>
      <c r="AD163" s="38">
        <v>1</v>
      </c>
      <c r="AE163" s="9">
        <v>-2.2177424244823829</v>
      </c>
      <c r="AF163" s="38">
        <v>0</v>
      </c>
      <c r="AG163" s="9">
        <v>0.99711677078326488</v>
      </c>
      <c r="AH163" s="41">
        <v>0</v>
      </c>
      <c r="AI163" s="42">
        <v>1.7372538673536959</v>
      </c>
      <c r="AJ163" s="42">
        <v>1.6394331553911441</v>
      </c>
      <c r="AK163" s="9"/>
      <c r="AM163" s="9"/>
      <c r="AN163" s="9"/>
      <c r="AO163" s="9"/>
      <c r="AP163" s="9"/>
      <c r="AQ163" s="9"/>
      <c r="AR163" s="9"/>
      <c r="AS163" s="9"/>
      <c r="AU163" s="9"/>
      <c r="AV163" s="9"/>
      <c r="AW163" s="15"/>
      <c r="AX163" s="9"/>
      <c r="BC163" s="9"/>
      <c r="BD163" s="9"/>
      <c r="BE163" s="9"/>
      <c r="BF163" s="9"/>
      <c r="BG163" s="9"/>
      <c r="BL163" s="9"/>
      <c r="BM163" s="9"/>
      <c r="BN163" s="9"/>
      <c r="BO163" s="20"/>
      <c r="BP163" s="20"/>
      <c r="BQ163" s="9"/>
      <c r="BR163" s="9"/>
      <c r="BS163" s="21"/>
      <c r="BT163" s="9"/>
      <c r="BW163" s="26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</row>
    <row r="164" spans="1:87" ht="15">
      <c r="A164" s="13">
        <v>31778</v>
      </c>
      <c r="B164" s="12">
        <v>7986.4480000000003</v>
      </c>
      <c r="C164" s="9">
        <v>0</v>
      </c>
      <c r="D164" s="24">
        <v>19570</v>
      </c>
      <c r="E164" s="12">
        <v>59.302999999999997</v>
      </c>
      <c r="F164" s="12">
        <v>52.56</v>
      </c>
      <c r="G164" s="12">
        <v>86.436000000000007</v>
      </c>
      <c r="H164" s="34">
        <v>165.9</v>
      </c>
      <c r="I164" s="34">
        <v>4670.6000000000004</v>
      </c>
      <c r="J164" s="35">
        <v>58.82</v>
      </c>
      <c r="K164" s="35">
        <v>60.808</v>
      </c>
      <c r="L164" s="35">
        <v>78.430000000000007</v>
      </c>
      <c r="M164" s="5">
        <v>-1.307491740702285</v>
      </c>
      <c r="N164" s="5">
        <v>-2.2033455516545799</v>
      </c>
      <c r="O164" s="5">
        <v>-3.3716707005737763</v>
      </c>
      <c r="P164" s="6">
        <v>1</v>
      </c>
      <c r="Q164" s="6">
        <v>0</v>
      </c>
      <c r="R164" s="33">
        <v>1</v>
      </c>
      <c r="S164" s="5">
        <v>1.0986</v>
      </c>
      <c r="T164" s="26">
        <v>19</v>
      </c>
      <c r="U164">
        <v>0</v>
      </c>
      <c r="V164" s="9">
        <v>-6.8818999999999964E-2</v>
      </c>
      <c r="W164" s="38">
        <v>-0.156053578</v>
      </c>
      <c r="X164" s="38">
        <v>90.5</v>
      </c>
      <c r="Y164" s="38">
        <v>103.8</v>
      </c>
      <c r="Z164" s="38">
        <v>81.900000000000006</v>
      </c>
      <c r="AA164" s="9">
        <v>0.7</v>
      </c>
      <c r="AB164" s="38">
        <v>0</v>
      </c>
      <c r="AC164" s="38">
        <v>7.6142942965082838E-3</v>
      </c>
      <c r="AD164" s="38">
        <v>1</v>
      </c>
      <c r="AE164" s="9">
        <v>8.9940314208126324</v>
      </c>
      <c r="AF164" s="38">
        <v>0</v>
      </c>
      <c r="AG164" s="9">
        <v>-2.5098132508623792</v>
      </c>
      <c r="AH164" s="41">
        <v>0</v>
      </c>
      <c r="AI164" s="42">
        <v>0.77793055654551702</v>
      </c>
      <c r="AJ164" s="42">
        <v>0.50869737896996992</v>
      </c>
      <c r="AK164" s="9"/>
      <c r="AM164" s="9"/>
      <c r="AN164" s="9"/>
      <c r="AO164" s="9"/>
      <c r="AP164" s="9"/>
      <c r="AQ164" s="9"/>
      <c r="AR164" s="9"/>
      <c r="AS164" s="9"/>
      <c r="AU164" s="9"/>
      <c r="AV164" s="9"/>
      <c r="AW164" s="15"/>
      <c r="AX164" s="9"/>
      <c r="BC164" s="9"/>
      <c r="BD164" s="9"/>
      <c r="BE164" s="9"/>
      <c r="BF164" s="9"/>
      <c r="BG164" s="9"/>
      <c r="BL164" s="9"/>
      <c r="BM164" s="9"/>
      <c r="BN164" s="9"/>
      <c r="BO164" s="20"/>
      <c r="BP164" s="20"/>
      <c r="BQ164" s="9"/>
      <c r="BR164" s="9"/>
      <c r="BS164" s="21"/>
      <c r="BT164" s="9"/>
      <c r="BW164" s="26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</row>
    <row r="165" spans="1:87" ht="15">
      <c r="A165" s="13">
        <v>31868</v>
      </c>
      <c r="B165" s="12">
        <v>8076.1019999999999</v>
      </c>
      <c r="C165" s="9">
        <v>0</v>
      </c>
      <c r="D165" s="24">
        <v>19881</v>
      </c>
      <c r="E165" s="12">
        <v>59.7</v>
      </c>
      <c r="F165" s="12">
        <v>53.241</v>
      </c>
      <c r="G165" s="12">
        <v>86.93</v>
      </c>
      <c r="H165" s="34">
        <v>181.6</v>
      </c>
      <c r="I165" s="34">
        <v>4776.5</v>
      </c>
      <c r="J165" s="35">
        <v>59.378999999999998</v>
      </c>
      <c r="K165" s="35">
        <v>61.246000000000002</v>
      </c>
      <c r="L165" s="35">
        <v>78.176000000000002</v>
      </c>
      <c r="M165" s="5">
        <v>4.6318846290271969</v>
      </c>
      <c r="N165" s="5">
        <v>3.0245241954088349</v>
      </c>
      <c r="O165" s="5">
        <v>-2.2648508737033994</v>
      </c>
      <c r="P165" s="6">
        <v>1</v>
      </c>
      <c r="Q165" s="6">
        <v>1</v>
      </c>
      <c r="R165" s="33">
        <v>1</v>
      </c>
      <c r="S165" s="5">
        <v>0.16689999999999999</v>
      </c>
      <c r="T165" s="26">
        <v>25</v>
      </c>
      <c r="U165">
        <v>0</v>
      </c>
      <c r="V165" s="9">
        <v>-6.4270000000000049E-2</v>
      </c>
      <c r="W165" s="38">
        <v>0</v>
      </c>
      <c r="X165" s="38">
        <v>91.8</v>
      </c>
      <c r="Y165" s="38">
        <v>107</v>
      </c>
      <c r="Z165" s="38">
        <v>82.1</v>
      </c>
      <c r="AA165" s="9">
        <v>1.3</v>
      </c>
      <c r="AB165" s="38">
        <v>0</v>
      </c>
      <c r="AC165" s="38">
        <v>4.7187819761647543E-2</v>
      </c>
      <c r="AD165" s="38">
        <v>1</v>
      </c>
      <c r="AE165" s="9">
        <v>5.062250643837185</v>
      </c>
      <c r="AF165" s="38">
        <v>0</v>
      </c>
      <c r="AG165" s="9">
        <v>2.2449975597852614</v>
      </c>
      <c r="AH165" s="41">
        <v>0</v>
      </c>
      <c r="AI165" s="42">
        <v>0.80197772259131739</v>
      </c>
      <c r="AJ165" s="42">
        <v>0.77699213736958883</v>
      </c>
      <c r="AK165" s="9"/>
      <c r="AM165" s="9"/>
      <c r="AN165" s="9"/>
      <c r="AO165" s="9"/>
      <c r="AP165" s="9"/>
      <c r="AQ165" s="9"/>
      <c r="AR165" s="9"/>
      <c r="AS165" s="9"/>
      <c r="AU165" s="9"/>
      <c r="AV165" s="9"/>
      <c r="AW165" s="15"/>
      <c r="AX165" s="9"/>
      <c r="BC165" s="9"/>
      <c r="BD165" s="9"/>
      <c r="BE165" s="9"/>
      <c r="BF165" s="9"/>
      <c r="BG165" s="9"/>
      <c r="BL165" s="9"/>
      <c r="BM165" s="9"/>
      <c r="BN165" s="9"/>
      <c r="BO165" s="20"/>
      <c r="BP165" s="20"/>
      <c r="BQ165" s="9"/>
      <c r="BR165" s="9"/>
      <c r="BS165" s="21"/>
      <c r="BT165" s="9"/>
      <c r="BW165" s="26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</row>
    <row r="166" spans="1:87" ht="15">
      <c r="A166" s="13">
        <v>31959</v>
      </c>
      <c r="B166" s="12">
        <v>8149.3519999999999</v>
      </c>
      <c r="C166" s="9">
        <v>0</v>
      </c>
      <c r="D166" s="24">
        <v>20157</v>
      </c>
      <c r="E166" s="12">
        <v>60.134</v>
      </c>
      <c r="F166" s="12">
        <v>53.625</v>
      </c>
      <c r="G166" s="12">
        <v>87.537000000000006</v>
      </c>
      <c r="H166" s="34">
        <v>200.7</v>
      </c>
      <c r="I166" s="34">
        <v>4883.2</v>
      </c>
      <c r="J166" s="35">
        <v>59.936</v>
      </c>
      <c r="K166" s="35">
        <v>61.26</v>
      </c>
      <c r="L166" s="35">
        <v>78.259</v>
      </c>
      <c r="M166" s="5">
        <v>1.5511653190518158</v>
      </c>
      <c r="N166" s="5">
        <v>-0.33420427256931018</v>
      </c>
      <c r="O166" s="5">
        <v>-2.517487772015738</v>
      </c>
      <c r="P166" s="6">
        <v>1</v>
      </c>
      <c r="Q166" s="6">
        <v>1</v>
      </c>
      <c r="R166" s="33">
        <v>0</v>
      </c>
      <c r="S166" s="5">
        <v>-1.4801</v>
      </c>
      <c r="T166" s="26">
        <v>32</v>
      </c>
      <c r="U166">
        <v>0</v>
      </c>
      <c r="V166" s="9">
        <v>3.8818999999999937E-2</v>
      </c>
      <c r="W166" s="38">
        <v>-0.41948068300000002</v>
      </c>
      <c r="X166" s="38">
        <v>93.9</v>
      </c>
      <c r="Y166" s="38">
        <v>108.7</v>
      </c>
      <c r="Z166" s="38">
        <v>84.4</v>
      </c>
      <c r="AA166" s="9">
        <v>2.4</v>
      </c>
      <c r="AB166" s="38">
        <v>0</v>
      </c>
      <c r="AC166" s="38">
        <v>2.5959358523777176E-2</v>
      </c>
      <c r="AD166" s="38">
        <v>1</v>
      </c>
      <c r="AE166" s="9">
        <v>6.7112311370194133</v>
      </c>
      <c r="AF166" s="38">
        <v>0</v>
      </c>
      <c r="AG166" s="9">
        <v>0.69212410501194199</v>
      </c>
      <c r="AH166" s="41">
        <v>0</v>
      </c>
      <c r="AI166" s="42">
        <v>1.014045600685</v>
      </c>
      <c r="AJ166" s="42">
        <v>1.156676248568455</v>
      </c>
      <c r="AK166" s="9"/>
      <c r="AM166" s="9"/>
      <c r="AN166" s="9"/>
      <c r="AO166" s="9"/>
      <c r="AP166" s="9"/>
      <c r="AQ166" s="9"/>
      <c r="AR166" s="9"/>
      <c r="AS166" s="9"/>
      <c r="AU166" s="9"/>
      <c r="AV166" s="9"/>
      <c r="AW166" s="15"/>
      <c r="AX166" s="9"/>
      <c r="BC166" s="9"/>
      <c r="BD166" s="9"/>
      <c r="BE166" s="9"/>
      <c r="BF166" s="9"/>
      <c r="BG166" s="9"/>
      <c r="BL166" s="9"/>
      <c r="BM166" s="9"/>
      <c r="BN166" s="9"/>
      <c r="BO166" s="20"/>
      <c r="BP166" s="20"/>
      <c r="BQ166" s="9"/>
      <c r="BR166" s="9"/>
      <c r="BS166" s="21"/>
      <c r="BT166" s="9"/>
      <c r="BW166" s="26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</row>
    <row r="167" spans="1:87" ht="15">
      <c r="A167" s="13">
        <v>32051</v>
      </c>
      <c r="B167" s="12">
        <v>8283.848</v>
      </c>
      <c r="C167" s="9">
        <v>0</v>
      </c>
      <c r="D167" s="24">
        <v>20608</v>
      </c>
      <c r="E167" s="12">
        <v>60.631999999999998</v>
      </c>
      <c r="F167" s="12">
        <v>54.645000000000003</v>
      </c>
      <c r="G167" s="12">
        <v>88.44</v>
      </c>
      <c r="H167" s="34">
        <v>201.9</v>
      </c>
      <c r="I167" s="34">
        <v>4988.3</v>
      </c>
      <c r="J167" s="35">
        <v>60.462000000000003</v>
      </c>
      <c r="K167" s="35">
        <v>61.787999999999997</v>
      </c>
      <c r="L167" s="35">
        <v>78.546000000000006</v>
      </c>
      <c r="M167" s="5">
        <v>1.5093686809411084</v>
      </c>
      <c r="N167" s="5">
        <v>5.0219789626763989E-2</v>
      </c>
      <c r="O167" s="5">
        <v>-2.9791636556681032</v>
      </c>
      <c r="P167" s="6">
        <v>1</v>
      </c>
      <c r="Q167" s="6">
        <v>1</v>
      </c>
      <c r="R167" s="33">
        <v>0</v>
      </c>
      <c r="S167" s="5">
        <v>1.2005999999999999</v>
      </c>
      <c r="T167" s="26">
        <v>13</v>
      </c>
      <c r="U167">
        <v>0</v>
      </c>
      <c r="V167" s="9">
        <v>-0.10504000000000002</v>
      </c>
      <c r="W167" s="38">
        <v>0</v>
      </c>
      <c r="X167" s="38">
        <v>86.4</v>
      </c>
      <c r="Y167" s="38">
        <v>101.7</v>
      </c>
      <c r="Z167" s="38">
        <v>76.599999999999994</v>
      </c>
      <c r="AA167" s="9">
        <v>1.1000000000000001</v>
      </c>
      <c r="AB167" s="38">
        <v>0</v>
      </c>
      <c r="AC167" s="38">
        <v>5.7819673211833233E-2</v>
      </c>
      <c r="AD167" s="38">
        <v>1</v>
      </c>
      <c r="AE167" s="9">
        <v>5.4680312627328975</v>
      </c>
      <c r="AF167" s="38">
        <v>0</v>
      </c>
      <c r="AG167" s="9">
        <v>1.5999051908035113</v>
      </c>
      <c r="AH167" s="41">
        <v>0</v>
      </c>
      <c r="AI167" s="42">
        <v>1.1232119260930129</v>
      </c>
      <c r="AJ167" s="42">
        <v>0.92682048789542837</v>
      </c>
      <c r="AK167" s="9"/>
      <c r="AM167" s="9"/>
      <c r="AN167" s="9"/>
      <c r="AO167" s="9"/>
      <c r="AP167" s="9"/>
      <c r="AQ167" s="9"/>
      <c r="AR167" s="9"/>
      <c r="AS167" s="9"/>
      <c r="AU167" s="9"/>
      <c r="AV167" s="9"/>
      <c r="AW167" s="15"/>
      <c r="AX167" s="9"/>
      <c r="BC167" s="9"/>
      <c r="BD167" s="9"/>
      <c r="BE167" s="9"/>
      <c r="BF167" s="9"/>
      <c r="BG167" s="9"/>
      <c r="BL167" s="9"/>
      <c r="BM167" s="9"/>
      <c r="BN167" s="9"/>
      <c r="BO167" s="20"/>
      <c r="BP167" s="20"/>
      <c r="BQ167" s="9"/>
      <c r="BR167" s="9"/>
      <c r="BS167" s="21"/>
      <c r="BT167" s="9"/>
      <c r="BW167" s="26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</row>
    <row r="168" spans="1:87" ht="15">
      <c r="A168" s="13">
        <v>32143</v>
      </c>
      <c r="B168" s="12">
        <v>8330.4449999999997</v>
      </c>
      <c r="C168" s="9">
        <v>0</v>
      </c>
      <c r="D168" s="24">
        <v>20845</v>
      </c>
      <c r="E168" s="12">
        <v>61.107999999999997</v>
      </c>
      <c r="F168" s="12">
        <v>54.881999999999998</v>
      </c>
      <c r="G168" s="12">
        <v>88.518000000000001</v>
      </c>
      <c r="H168" s="34">
        <v>212.5</v>
      </c>
      <c r="I168" s="34">
        <v>5088.3</v>
      </c>
      <c r="J168" s="35">
        <v>60.933</v>
      </c>
      <c r="K168" s="35">
        <v>62.000999999999998</v>
      </c>
      <c r="L168" s="35">
        <v>79.37</v>
      </c>
      <c r="M168" s="5">
        <v>1.8683349972587062</v>
      </c>
      <c r="N168" s="5">
        <v>1.419341876152429</v>
      </c>
      <c r="O168" s="5">
        <v>-2.9193755719489629</v>
      </c>
      <c r="P168" s="6">
        <v>1</v>
      </c>
      <c r="Q168" s="6">
        <v>1</v>
      </c>
      <c r="R168" s="33">
        <v>0</v>
      </c>
      <c r="S168" s="5">
        <v>0.78049999999999997</v>
      </c>
      <c r="T168" s="26">
        <v>12</v>
      </c>
      <c r="U168">
        <v>-4.9558692032337065E-2</v>
      </c>
      <c r="V168" s="9">
        <v>3.125E-2</v>
      </c>
      <c r="W168" s="38">
        <v>0.38571053500000002</v>
      </c>
      <c r="X168" s="38">
        <v>92.3</v>
      </c>
      <c r="Y168" s="38">
        <v>107.3</v>
      </c>
      <c r="Z168" s="38">
        <v>82.6</v>
      </c>
      <c r="AA168" s="9">
        <v>1.8</v>
      </c>
      <c r="AB168" s="38">
        <v>0</v>
      </c>
      <c r="AC168" s="38">
        <v>5.2460380405103813E-2</v>
      </c>
      <c r="AD168" s="38">
        <v>1</v>
      </c>
      <c r="AE168" s="9">
        <v>6.2675842683517446</v>
      </c>
      <c r="AF168" s="38">
        <v>0</v>
      </c>
      <c r="AG168" s="9">
        <v>-0.90983319724716694</v>
      </c>
      <c r="AH168" s="41">
        <v>0</v>
      </c>
      <c r="AI168" s="42">
        <v>1.261539056139817</v>
      </c>
      <c r="AJ168" s="42">
        <v>0.96320031241690129</v>
      </c>
      <c r="AK168" s="9"/>
      <c r="AM168" s="9"/>
      <c r="AN168" s="9"/>
      <c r="AO168" s="9"/>
      <c r="AP168" s="9"/>
      <c r="AQ168" s="9"/>
      <c r="AR168" s="9"/>
      <c r="AS168" s="9"/>
      <c r="AU168" s="9"/>
      <c r="AV168" s="9"/>
      <c r="AW168" s="15"/>
      <c r="AX168" s="9"/>
      <c r="BC168" s="9"/>
      <c r="BD168" s="9"/>
      <c r="BE168" s="9"/>
      <c r="BF168" s="9"/>
      <c r="BG168" s="9"/>
      <c r="BL168" s="9"/>
      <c r="BM168" s="9"/>
      <c r="BN168" s="9"/>
      <c r="BO168" s="20"/>
      <c r="BP168" s="20"/>
      <c r="BQ168" s="9"/>
      <c r="BR168" s="9"/>
      <c r="BS168" s="21"/>
      <c r="BT168" s="9"/>
      <c r="BW168" s="26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</row>
    <row r="169" spans="1:87" ht="15">
      <c r="A169" s="13">
        <v>32234</v>
      </c>
      <c r="B169" s="12">
        <v>8440.5059999999994</v>
      </c>
      <c r="C169" s="9">
        <v>0</v>
      </c>
      <c r="D169" s="24">
        <v>21281</v>
      </c>
      <c r="E169" s="12">
        <v>61.698999999999998</v>
      </c>
      <c r="F169" s="12">
        <v>55.819000000000003</v>
      </c>
      <c r="G169" s="12">
        <v>89.784000000000006</v>
      </c>
      <c r="H169" s="34">
        <v>214.7</v>
      </c>
      <c r="I169" s="34">
        <v>5197.3</v>
      </c>
      <c r="J169" s="35">
        <v>61.606000000000002</v>
      </c>
      <c r="K169" s="35">
        <v>62.17</v>
      </c>
      <c r="L169" s="35">
        <v>79.456000000000003</v>
      </c>
      <c r="M169" s="5">
        <v>0.19742091690951447</v>
      </c>
      <c r="N169" s="5">
        <v>0.88965920405318344</v>
      </c>
      <c r="O169" s="5">
        <v>-2.8478686739048191</v>
      </c>
      <c r="P169" s="6">
        <v>1</v>
      </c>
      <c r="Q169" s="6">
        <v>1</v>
      </c>
      <c r="R169" s="33">
        <v>0</v>
      </c>
      <c r="S169" s="5">
        <v>-0.15210000000000001</v>
      </c>
      <c r="T169" s="26">
        <v>17</v>
      </c>
      <c r="U169">
        <v>0</v>
      </c>
      <c r="V169" s="9">
        <v>-5.4271999999999987E-2</v>
      </c>
      <c r="W169" s="38">
        <v>0</v>
      </c>
      <c r="X169" s="38">
        <v>93.5</v>
      </c>
      <c r="Y169" s="38">
        <v>106.6</v>
      </c>
      <c r="Z169" s="38">
        <v>85.1</v>
      </c>
      <c r="AA169" s="9">
        <v>0.6</v>
      </c>
      <c r="AB169" s="38">
        <v>0</v>
      </c>
      <c r="AC169" s="38">
        <v>3.2969112995700822E-2</v>
      </c>
      <c r="AD169" s="38">
        <v>1</v>
      </c>
      <c r="AE169" s="9">
        <v>4.7831940186855437</v>
      </c>
      <c r="AF169" s="38">
        <v>0</v>
      </c>
      <c r="AG169" s="9">
        <v>1.812831077104164</v>
      </c>
      <c r="AH169" s="41">
        <v>0</v>
      </c>
      <c r="AI169" s="42">
        <v>0.40821722460466581</v>
      </c>
      <c r="AJ169" s="42">
        <v>0.61890114351480563</v>
      </c>
      <c r="AK169" s="9"/>
      <c r="AM169" s="9"/>
      <c r="AN169" s="9"/>
      <c r="AO169" s="9"/>
      <c r="AP169" s="9"/>
      <c r="AQ169" s="9"/>
      <c r="AR169" s="9"/>
      <c r="AS169" s="9"/>
      <c r="AU169" s="9"/>
      <c r="AV169" s="9"/>
      <c r="AW169" s="15"/>
      <c r="AX169" s="9"/>
      <c r="BC169" s="9"/>
      <c r="BD169" s="9"/>
      <c r="BE169" s="9"/>
      <c r="BF169" s="9"/>
      <c r="BG169" s="9"/>
      <c r="BL169" s="9"/>
      <c r="BM169" s="9"/>
      <c r="BN169" s="9"/>
      <c r="BO169" s="20"/>
      <c r="BP169" s="20"/>
      <c r="BQ169" s="9"/>
      <c r="BR169" s="9"/>
      <c r="BS169" s="21"/>
      <c r="BT169" s="9"/>
      <c r="BW169" s="26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</row>
    <row r="170" spans="1:87" ht="15">
      <c r="A170" s="13">
        <v>32325</v>
      </c>
      <c r="B170" s="12">
        <v>8489.2039999999997</v>
      </c>
      <c r="C170" s="9">
        <v>0</v>
      </c>
      <c r="D170" s="24">
        <v>21599</v>
      </c>
      <c r="E170" s="12">
        <v>62.426000000000002</v>
      </c>
      <c r="F170" s="12">
        <v>56.137999999999998</v>
      </c>
      <c r="G170" s="12">
        <v>90.03</v>
      </c>
      <c r="H170" s="34">
        <v>211.9</v>
      </c>
      <c r="I170" s="34">
        <v>5305.3</v>
      </c>
      <c r="J170" s="35">
        <v>62.365000000000002</v>
      </c>
      <c r="K170" s="35">
        <v>62.354999999999997</v>
      </c>
      <c r="L170" s="35">
        <v>79.555999999999997</v>
      </c>
      <c r="M170" s="5">
        <v>1.0164182860208404</v>
      </c>
      <c r="N170" s="5">
        <v>2.4778482025995867</v>
      </c>
      <c r="O170" s="5">
        <v>-2.605316978394205</v>
      </c>
      <c r="P170" s="6">
        <v>1</v>
      </c>
      <c r="Q170" s="6">
        <v>1</v>
      </c>
      <c r="R170" s="33">
        <v>0</v>
      </c>
      <c r="S170" s="5">
        <v>-0.38350000000000001</v>
      </c>
      <c r="T170" s="26">
        <v>10</v>
      </c>
      <c r="U170">
        <v>0</v>
      </c>
      <c r="V170" s="9">
        <v>2.6481000000000088E-2</v>
      </c>
      <c r="W170" s="38">
        <v>0</v>
      </c>
      <c r="X170" s="38">
        <v>96</v>
      </c>
      <c r="Y170" s="38">
        <v>110.3</v>
      </c>
      <c r="Z170" s="38">
        <v>86.9</v>
      </c>
      <c r="AA170" s="9">
        <v>1.4</v>
      </c>
      <c r="AB170" s="38">
        <v>0</v>
      </c>
      <c r="AC170" s="38">
        <v>5.1190682768465612E-2</v>
      </c>
      <c r="AD170" s="38">
        <v>1</v>
      </c>
      <c r="AE170" s="9">
        <v>1.1185775219092475</v>
      </c>
      <c r="AF170" s="38">
        <v>0</v>
      </c>
      <c r="AG170" s="9">
        <v>1.1330789686668936</v>
      </c>
      <c r="AH170" s="41">
        <v>0</v>
      </c>
      <c r="AI170" s="42">
        <v>0.93799861549009433</v>
      </c>
      <c r="AJ170" s="42">
        <v>0.83600605007856099</v>
      </c>
      <c r="AK170" s="9"/>
      <c r="AM170" s="9"/>
      <c r="AN170" s="9"/>
      <c r="AO170" s="9"/>
      <c r="AP170" s="9"/>
      <c r="AQ170" s="9"/>
      <c r="AR170" s="9"/>
      <c r="AS170" s="9"/>
      <c r="AU170" s="9"/>
      <c r="AV170" s="9"/>
      <c r="AW170" s="15"/>
      <c r="AX170" s="9"/>
      <c r="BC170" s="9"/>
      <c r="BD170" s="9"/>
      <c r="BE170" s="9"/>
      <c r="BF170" s="9"/>
      <c r="BG170" s="9"/>
      <c r="BL170" s="9"/>
      <c r="BM170" s="9"/>
      <c r="BN170" s="9"/>
      <c r="BO170" s="20"/>
      <c r="BP170" s="20"/>
      <c r="BQ170" s="9"/>
      <c r="BR170" s="9"/>
      <c r="BS170" s="21"/>
      <c r="BT170" s="9"/>
      <c r="BW170" s="26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</row>
    <row r="171" spans="1:87" ht="15">
      <c r="A171" s="13">
        <v>32417</v>
      </c>
      <c r="B171" s="12">
        <v>8601.634</v>
      </c>
      <c r="C171" s="9">
        <v>0</v>
      </c>
      <c r="D171" s="24">
        <v>22006</v>
      </c>
      <c r="E171" s="12">
        <v>62.926000000000002</v>
      </c>
      <c r="F171" s="12">
        <v>56.981999999999999</v>
      </c>
      <c r="G171" s="12">
        <v>91.028999999999996</v>
      </c>
      <c r="H171" s="34">
        <v>226</v>
      </c>
      <c r="I171" s="34">
        <v>5421.6</v>
      </c>
      <c r="J171" s="35">
        <v>62.988999999999997</v>
      </c>
      <c r="K171" s="35">
        <v>62.597999999999999</v>
      </c>
      <c r="L171" s="35">
        <v>79.394000000000005</v>
      </c>
      <c r="M171" s="5">
        <v>0.73803425097228748</v>
      </c>
      <c r="N171" s="5">
        <v>2.2198213931563329</v>
      </c>
      <c r="O171" s="5">
        <v>-2.8708413433639066</v>
      </c>
      <c r="P171" s="6">
        <v>1</v>
      </c>
      <c r="Q171" s="6">
        <v>1</v>
      </c>
      <c r="R171" s="33">
        <v>0</v>
      </c>
      <c r="S171" s="5">
        <v>-0.39710000000000001</v>
      </c>
      <c r="T171" s="26">
        <v>25</v>
      </c>
      <c r="U171">
        <v>-1.1433333313007409E-2</v>
      </c>
      <c r="V171" s="9">
        <v>-2.113200000000004E-2</v>
      </c>
      <c r="W171" s="38">
        <v>0</v>
      </c>
      <c r="X171" s="38">
        <v>93</v>
      </c>
      <c r="Y171" s="38">
        <v>103.5</v>
      </c>
      <c r="Z171" s="38">
        <v>86.3</v>
      </c>
      <c r="AA171" s="9">
        <v>0.8</v>
      </c>
      <c r="AB171" s="38">
        <v>0</v>
      </c>
      <c r="AC171" s="38">
        <v>4.2308359330608614E-2</v>
      </c>
      <c r="AD171" s="38">
        <v>1</v>
      </c>
      <c r="AE171" s="9">
        <v>3.4217605299972753</v>
      </c>
      <c r="AF171" s="38">
        <v>0</v>
      </c>
      <c r="AG171" s="9">
        <v>1.1775465874013946</v>
      </c>
      <c r="AH171" s="41">
        <v>0</v>
      </c>
      <c r="AI171" s="42">
        <v>0.89003070119221528</v>
      </c>
      <c r="AJ171" s="42">
        <v>1.019090751887294</v>
      </c>
      <c r="AK171" s="9"/>
      <c r="AM171" s="9"/>
      <c r="AN171" s="9"/>
      <c r="AO171" s="9"/>
      <c r="AP171" s="9"/>
      <c r="AQ171" s="9"/>
      <c r="AR171" s="9"/>
      <c r="AS171" s="9"/>
      <c r="AU171" s="9"/>
      <c r="AV171" s="9"/>
      <c r="AW171" s="15"/>
      <c r="AX171" s="9"/>
      <c r="BC171" s="9"/>
      <c r="BD171" s="9"/>
      <c r="BE171" s="9"/>
      <c r="BF171" s="9"/>
      <c r="BG171" s="9"/>
      <c r="BL171" s="9"/>
      <c r="BM171" s="9"/>
      <c r="BN171" s="9"/>
      <c r="BO171" s="20"/>
      <c r="BP171" s="20"/>
      <c r="BQ171" s="9"/>
      <c r="BR171" s="9"/>
      <c r="BS171" s="21"/>
      <c r="BT171" s="9"/>
      <c r="BW171" s="26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</row>
    <row r="172" spans="1:87" ht="15">
      <c r="A172" s="13">
        <v>32509</v>
      </c>
      <c r="B172" s="12">
        <v>8688.3960000000006</v>
      </c>
      <c r="C172" s="9">
        <v>0</v>
      </c>
      <c r="D172" s="24">
        <v>22427</v>
      </c>
      <c r="E172" s="12">
        <v>63.616999999999997</v>
      </c>
      <c r="F172" s="12">
        <v>57.457000000000001</v>
      </c>
      <c r="G172" s="12">
        <v>91.923000000000002</v>
      </c>
      <c r="H172" s="34">
        <v>201.5</v>
      </c>
      <c r="I172" s="34">
        <v>5517.2</v>
      </c>
      <c r="J172" s="35">
        <v>63.695</v>
      </c>
      <c r="K172" s="35">
        <v>62.506</v>
      </c>
      <c r="L172" s="35">
        <v>78.917000000000002</v>
      </c>
      <c r="M172" s="5">
        <v>-0.91037881942875054</v>
      </c>
      <c r="N172" s="5">
        <v>-0.12548981938334891</v>
      </c>
      <c r="O172" s="5">
        <v>-2.5443767068824461</v>
      </c>
      <c r="P172" s="6">
        <v>1</v>
      </c>
      <c r="Q172" s="6">
        <v>1</v>
      </c>
      <c r="R172" s="33">
        <v>0</v>
      </c>
      <c r="S172" s="5">
        <v>1.7366999999999999</v>
      </c>
      <c r="T172" s="26">
        <v>16</v>
      </c>
      <c r="U172">
        <v>0</v>
      </c>
      <c r="V172" s="9">
        <v>3.2279999999999975E-2</v>
      </c>
      <c r="W172" s="38">
        <v>0</v>
      </c>
      <c r="X172" s="38">
        <v>95.9</v>
      </c>
      <c r="Y172" s="38">
        <v>106.9</v>
      </c>
      <c r="Z172" s="38">
        <v>88.8</v>
      </c>
      <c r="AA172" s="9">
        <v>0.3</v>
      </c>
      <c r="AB172" s="38">
        <v>0</v>
      </c>
      <c r="AC172" s="38">
        <v>5.7818359364510075E-2</v>
      </c>
      <c r="AD172" s="38">
        <v>1</v>
      </c>
      <c r="AE172" s="9">
        <v>4.2996563897591544</v>
      </c>
      <c r="AF172" s="38">
        <v>0</v>
      </c>
      <c r="AG172" s="9">
        <v>1.0508474576271283</v>
      </c>
      <c r="AH172" s="41">
        <v>0</v>
      </c>
      <c r="AI172" s="42">
        <v>0.9794820335558776</v>
      </c>
      <c r="AJ172" s="42">
        <v>1.285572892576863</v>
      </c>
      <c r="AK172" s="9"/>
      <c r="AM172" s="9"/>
      <c r="AN172" s="9"/>
      <c r="AO172" s="9"/>
      <c r="AP172" s="9"/>
      <c r="AQ172" s="9"/>
      <c r="AR172" s="9"/>
      <c r="AS172" s="9"/>
      <c r="AU172" s="9"/>
      <c r="AV172" s="9"/>
      <c r="AW172" s="15"/>
      <c r="AX172" s="9"/>
      <c r="BC172" s="9"/>
      <c r="BD172" s="9"/>
      <c r="BE172" s="9"/>
      <c r="BF172" s="9"/>
      <c r="BG172" s="9"/>
      <c r="BL172" s="9"/>
      <c r="BM172" s="9"/>
      <c r="BN172" s="9"/>
      <c r="BO172" s="20"/>
      <c r="BP172" s="20"/>
      <c r="BQ172" s="9"/>
      <c r="BR172" s="9"/>
      <c r="BS172" s="21"/>
      <c r="BT172" s="9"/>
      <c r="BW172" s="26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</row>
    <row r="173" spans="1:87" ht="15">
      <c r="A173" s="13">
        <v>32599</v>
      </c>
      <c r="B173" s="12">
        <v>8756.7109999999993</v>
      </c>
      <c r="C173" s="9">
        <v>0</v>
      </c>
      <c r="D173" s="24">
        <v>22786</v>
      </c>
      <c r="E173" s="12">
        <v>64.275000000000006</v>
      </c>
      <c r="F173" s="12">
        <v>57.904000000000003</v>
      </c>
      <c r="G173" s="12">
        <v>92.290999999999997</v>
      </c>
      <c r="H173" s="34">
        <v>206.8</v>
      </c>
      <c r="I173" s="34">
        <v>5563.3</v>
      </c>
      <c r="J173" s="35">
        <v>64.542000000000002</v>
      </c>
      <c r="K173" s="35">
        <v>62.741</v>
      </c>
      <c r="L173" s="35">
        <v>78.016999999999996</v>
      </c>
      <c r="M173" s="5">
        <v>-3.0933899632757265</v>
      </c>
      <c r="N173" s="5">
        <v>-3.304761904649113</v>
      </c>
      <c r="O173" s="5">
        <v>-2.8411350521077008</v>
      </c>
      <c r="P173" s="6">
        <v>1</v>
      </c>
      <c r="Q173" s="6">
        <v>1</v>
      </c>
      <c r="R173" s="33">
        <v>0</v>
      </c>
      <c r="S173" s="5">
        <v>-1.2133</v>
      </c>
      <c r="T173" s="26">
        <v>26</v>
      </c>
      <c r="U173">
        <v>0</v>
      </c>
      <c r="V173" s="9">
        <v>-5.6420000000000026E-2</v>
      </c>
      <c r="W173" s="38">
        <v>0</v>
      </c>
      <c r="X173" s="38">
        <v>90.9</v>
      </c>
      <c r="Y173" s="38">
        <v>105.2</v>
      </c>
      <c r="Z173" s="38">
        <v>81.7</v>
      </c>
      <c r="AA173" s="9">
        <v>0.7</v>
      </c>
      <c r="AB173" s="38">
        <v>0</v>
      </c>
      <c r="AC173" s="38">
        <v>3.6607262798015405E-2</v>
      </c>
      <c r="AD173" s="38">
        <v>1</v>
      </c>
      <c r="AE173" s="9">
        <v>1.8274080591115016</v>
      </c>
      <c r="AF173" s="38">
        <v>0</v>
      </c>
      <c r="AG173" s="9">
        <v>0.40254948004026403</v>
      </c>
      <c r="AH173" s="41">
        <v>0</v>
      </c>
      <c r="AI173" s="42">
        <v>0.89833282937545011</v>
      </c>
      <c r="AJ173" s="42">
        <v>0.60940878661870856</v>
      </c>
      <c r="AK173" s="9"/>
      <c r="AM173" s="9"/>
      <c r="AN173" s="9"/>
      <c r="AO173" s="9"/>
      <c r="AP173" s="9"/>
      <c r="AQ173" s="9"/>
      <c r="AR173" s="9"/>
      <c r="AS173" s="9"/>
      <c r="AU173" s="9"/>
      <c r="AV173" s="9"/>
      <c r="AW173" s="15"/>
      <c r="AX173" s="9"/>
      <c r="BC173" s="9"/>
      <c r="BD173" s="9"/>
      <c r="BE173" s="9"/>
      <c r="BF173" s="9"/>
      <c r="BG173" s="9"/>
      <c r="BL173" s="9"/>
      <c r="BM173" s="9"/>
      <c r="BN173" s="9"/>
      <c r="BO173" s="20"/>
      <c r="BP173" s="20"/>
      <c r="BQ173" s="9"/>
      <c r="BR173" s="9"/>
      <c r="BS173" s="21"/>
      <c r="BT173" s="9"/>
      <c r="BW173" s="26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</row>
    <row r="174" spans="1:87" ht="15">
      <c r="A174" s="13">
        <v>32690</v>
      </c>
      <c r="B174" s="12">
        <v>8822.0759999999991</v>
      </c>
      <c r="C174" s="9">
        <v>0</v>
      </c>
      <c r="D174" s="24">
        <v>23058</v>
      </c>
      <c r="E174" s="12">
        <v>64.741</v>
      </c>
      <c r="F174" s="12">
        <v>58.337000000000003</v>
      </c>
      <c r="G174" s="12">
        <v>92.498000000000005</v>
      </c>
      <c r="H174" s="34">
        <v>209.5</v>
      </c>
      <c r="I174" s="34">
        <v>5625</v>
      </c>
      <c r="J174" s="35">
        <v>64.909000000000006</v>
      </c>
      <c r="K174" s="35">
        <v>63.067999999999998</v>
      </c>
      <c r="L174" s="35">
        <v>78.126999999999995</v>
      </c>
      <c r="M174" s="5">
        <v>-3.9234424200307212E-2</v>
      </c>
      <c r="N174" s="5">
        <v>-0.98865951042262334</v>
      </c>
      <c r="O174" s="5">
        <v>-2.9495218581242399</v>
      </c>
      <c r="P174" s="6">
        <v>1</v>
      </c>
      <c r="Q174" s="6">
        <v>1</v>
      </c>
      <c r="R174" s="33">
        <v>0</v>
      </c>
      <c r="S174" s="5">
        <v>0.25290000000000001</v>
      </c>
      <c r="T174" s="26">
        <v>7</v>
      </c>
      <c r="U174">
        <v>0</v>
      </c>
      <c r="V174" s="9">
        <v>-3.6061999999999927E-2</v>
      </c>
      <c r="W174" s="38">
        <v>0</v>
      </c>
      <c r="X174" s="38">
        <v>92.5</v>
      </c>
      <c r="Y174" s="38">
        <v>104.4</v>
      </c>
      <c r="Z174" s="38">
        <v>84.8</v>
      </c>
      <c r="AA174" s="9">
        <v>0.3</v>
      </c>
      <c r="AB174" s="38">
        <v>0</v>
      </c>
      <c r="AC174" s="38">
        <v>2.8751745087082892E-2</v>
      </c>
      <c r="AD174" s="38">
        <v>1</v>
      </c>
      <c r="AE174" s="9">
        <v>0.80284589564436626</v>
      </c>
      <c r="AF174" s="38">
        <v>0</v>
      </c>
      <c r="AG174" s="9">
        <v>0.91324200913240361</v>
      </c>
      <c r="AH174" s="41">
        <v>0</v>
      </c>
      <c r="AI174" s="42">
        <v>0.31862945383945862</v>
      </c>
      <c r="AJ174" s="42">
        <v>0.1333186982353729</v>
      </c>
      <c r="AK174" s="9"/>
      <c r="AM174" s="9"/>
      <c r="AN174" s="9"/>
      <c r="AO174" s="9"/>
      <c r="AP174" s="9"/>
      <c r="AQ174" s="9"/>
      <c r="AR174" s="9"/>
      <c r="AS174" s="9"/>
      <c r="AU174" s="9"/>
      <c r="AV174" s="9"/>
      <c r="AW174" s="15"/>
      <c r="AX174" s="9"/>
      <c r="BC174" s="9"/>
      <c r="BD174" s="9"/>
      <c r="BE174" s="9"/>
      <c r="BF174" s="9"/>
      <c r="BG174" s="9"/>
      <c r="BL174" s="9"/>
      <c r="BM174" s="9"/>
      <c r="BN174" s="9"/>
      <c r="BO174" s="20"/>
      <c r="BP174" s="20"/>
      <c r="BQ174" s="9"/>
      <c r="BR174" s="9"/>
      <c r="BS174" s="21"/>
      <c r="BT174" s="9"/>
      <c r="BW174" s="26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</row>
    <row r="175" spans="1:87" ht="15">
      <c r="A175" s="13">
        <v>32782</v>
      </c>
      <c r="B175" s="12">
        <v>8840.7270000000008</v>
      </c>
      <c r="C175" s="9">
        <v>0</v>
      </c>
      <c r="D175" s="24">
        <v>23205</v>
      </c>
      <c r="E175" s="12">
        <v>65.191999999999993</v>
      </c>
      <c r="F175" s="12">
        <v>58.377000000000002</v>
      </c>
      <c r="G175" s="12">
        <v>92.510999999999996</v>
      </c>
      <c r="H175" s="34">
        <v>186.3</v>
      </c>
      <c r="I175" s="34">
        <v>5668.5</v>
      </c>
      <c r="J175" s="35">
        <v>65.415999999999997</v>
      </c>
      <c r="K175" s="35">
        <v>63.103000000000002</v>
      </c>
      <c r="L175" s="35">
        <v>78.543000000000006</v>
      </c>
      <c r="M175" s="5">
        <v>-1.2810672484792358</v>
      </c>
      <c r="N175" s="5">
        <v>-2.3084821977293197</v>
      </c>
      <c r="O175" s="5">
        <v>-2.8300994709942966</v>
      </c>
      <c r="P175" s="6">
        <v>1</v>
      </c>
      <c r="Q175" s="6">
        <v>1</v>
      </c>
      <c r="R175" s="33">
        <v>0</v>
      </c>
      <c r="S175" s="5">
        <v>-0.40699999999999997</v>
      </c>
      <c r="T175" s="26">
        <v>3</v>
      </c>
      <c r="U175">
        <v>-9.1741541889358832E-2</v>
      </c>
      <c r="V175" s="9">
        <v>-0.13209700000000002</v>
      </c>
      <c r="W175" s="38">
        <v>0</v>
      </c>
      <c r="X175" s="38">
        <v>91.8</v>
      </c>
      <c r="Y175" s="38">
        <v>101.2</v>
      </c>
      <c r="Z175" s="38">
        <v>85.7</v>
      </c>
      <c r="AA175" s="9">
        <v>0.4</v>
      </c>
      <c r="AB175" s="38">
        <v>0</v>
      </c>
      <c r="AC175" s="38">
        <v>4.0539971916478068E-2</v>
      </c>
      <c r="AD175" s="38">
        <v>1</v>
      </c>
      <c r="AE175" s="9">
        <v>0.55715008836405566</v>
      </c>
      <c r="AF175" s="38">
        <v>0</v>
      </c>
      <c r="AG175" s="9">
        <v>1.1588124931023032</v>
      </c>
      <c r="AH175" s="41">
        <v>0</v>
      </c>
      <c r="AI175" s="42">
        <v>0.14126450216150491</v>
      </c>
      <c r="AJ175" s="42">
        <v>1.0710025934666141</v>
      </c>
      <c r="AK175" s="9"/>
      <c r="AM175" s="9"/>
      <c r="AN175" s="9"/>
      <c r="AO175" s="9"/>
      <c r="AP175" s="9"/>
      <c r="AQ175" s="9"/>
      <c r="AR175" s="9"/>
      <c r="AS175" s="9"/>
      <c r="AU175" s="9"/>
      <c r="AV175" s="9"/>
      <c r="AW175" s="15"/>
      <c r="AX175" s="9"/>
      <c r="BC175" s="9"/>
      <c r="BD175" s="9"/>
      <c r="BE175" s="9"/>
      <c r="BF175" s="9"/>
      <c r="BG175" s="9"/>
      <c r="BL175" s="9"/>
      <c r="BM175" s="9"/>
      <c r="BN175" s="9"/>
      <c r="BO175" s="20"/>
      <c r="BP175" s="20"/>
      <c r="BQ175" s="9"/>
      <c r="BR175" s="9"/>
      <c r="BS175" s="21"/>
      <c r="BT175" s="9"/>
      <c r="BW175" s="26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</row>
    <row r="176" spans="1:87" ht="15">
      <c r="A176" s="13">
        <v>32874</v>
      </c>
      <c r="B176" s="12">
        <v>8937.52</v>
      </c>
      <c r="C176" s="9">
        <v>0</v>
      </c>
      <c r="D176" s="24">
        <v>23664</v>
      </c>
      <c r="E176" s="12">
        <v>65.911000000000001</v>
      </c>
      <c r="F176" s="12">
        <v>59.018000000000001</v>
      </c>
      <c r="G176" s="12">
        <v>92.736000000000004</v>
      </c>
      <c r="H176" s="34">
        <v>200.8</v>
      </c>
      <c r="I176" s="34">
        <v>5790.9</v>
      </c>
      <c r="J176" s="35">
        <v>66.349000000000004</v>
      </c>
      <c r="K176" s="35">
        <v>63.640999999999998</v>
      </c>
      <c r="L176" s="35">
        <v>78.902000000000001</v>
      </c>
      <c r="M176" s="5">
        <v>2.9643389046091109</v>
      </c>
      <c r="N176" s="5">
        <v>2.5691073844804233</v>
      </c>
      <c r="O176" s="5">
        <v>-3.335141476401188</v>
      </c>
      <c r="P176" s="6">
        <v>1</v>
      </c>
      <c r="Q176" s="6">
        <v>1</v>
      </c>
      <c r="R176" s="33">
        <v>0</v>
      </c>
      <c r="S176" s="5">
        <v>-6.2199999999999998E-2</v>
      </c>
      <c r="T176" s="26">
        <v>7</v>
      </c>
      <c r="U176">
        <v>0</v>
      </c>
      <c r="V176" s="9">
        <v>1.93500000000002E-3</v>
      </c>
      <c r="W176" s="38">
        <v>0.180183332</v>
      </c>
      <c r="X176" s="38">
        <v>91.3</v>
      </c>
      <c r="Y176" s="38">
        <v>105.7</v>
      </c>
      <c r="Z176" s="38">
        <v>82</v>
      </c>
      <c r="AA176" s="9">
        <v>1.2</v>
      </c>
      <c r="AB176" s="38">
        <v>0</v>
      </c>
      <c r="AC176" s="38">
        <v>3.8817635256000127E-2</v>
      </c>
      <c r="AD176" s="38">
        <v>1</v>
      </c>
      <c r="AE176" s="9">
        <v>2.9252698413771538</v>
      </c>
      <c r="AF176" s="38">
        <v>0</v>
      </c>
      <c r="AG176" s="9">
        <v>2.0728780274929193</v>
      </c>
      <c r="AH176" s="41">
        <v>0</v>
      </c>
      <c r="AI176" s="42">
        <v>4.7113699757284772E-2</v>
      </c>
      <c r="AJ176" s="42">
        <v>0.40356451600417442</v>
      </c>
      <c r="AK176" s="9"/>
      <c r="AM176" s="9"/>
      <c r="AN176" s="9"/>
      <c r="AO176" s="9"/>
      <c r="AP176" s="9"/>
      <c r="AQ176" s="9"/>
      <c r="AR176" s="9"/>
      <c r="AS176" s="9"/>
      <c r="AU176" s="9"/>
      <c r="AV176" s="9"/>
      <c r="AW176" s="15"/>
      <c r="AX176" s="9"/>
      <c r="BC176" s="9"/>
      <c r="BD176" s="9"/>
      <c r="BE176" s="9"/>
      <c r="BF176" s="9"/>
      <c r="BG176" s="9"/>
      <c r="BL176" s="9"/>
      <c r="BM176" s="9"/>
      <c r="BN176" s="9"/>
      <c r="BO176" s="20"/>
      <c r="BP176" s="20"/>
      <c r="BQ176" s="9"/>
      <c r="BR176" s="9"/>
      <c r="BS176" s="21"/>
      <c r="BT176" s="9"/>
      <c r="BW176" s="26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</row>
    <row r="177" spans="1:87" ht="15">
      <c r="A177" s="13">
        <v>32964</v>
      </c>
      <c r="B177" s="12">
        <v>8972.0720000000001</v>
      </c>
      <c r="C177" s="9">
        <v>0</v>
      </c>
      <c r="D177" s="24">
        <v>23926</v>
      </c>
      <c r="E177" s="12">
        <v>66.591999999999999</v>
      </c>
      <c r="F177" s="12">
        <v>59.222999999999999</v>
      </c>
      <c r="G177" s="12">
        <v>92.227000000000004</v>
      </c>
      <c r="H177" s="34">
        <v>213.4</v>
      </c>
      <c r="I177" s="34">
        <v>5883.9</v>
      </c>
      <c r="J177" s="35">
        <v>66.944999999999993</v>
      </c>
      <c r="K177" s="35">
        <v>64.213999999999999</v>
      </c>
      <c r="L177" s="35">
        <v>79.811000000000007</v>
      </c>
      <c r="M177" s="5">
        <v>2.2107945651748744</v>
      </c>
      <c r="N177" s="5">
        <v>2.7835482097744655</v>
      </c>
      <c r="O177" s="5">
        <v>-3.2699045688170099</v>
      </c>
      <c r="P177" s="6">
        <v>1</v>
      </c>
      <c r="Q177" s="6">
        <v>1</v>
      </c>
      <c r="R177" s="33">
        <v>0</v>
      </c>
      <c r="S177" s="5">
        <v>0.64019999999999999</v>
      </c>
      <c r="T177" s="39">
        <v>7.1</v>
      </c>
      <c r="U177">
        <v>0</v>
      </c>
      <c r="V177" s="9">
        <v>-8.8077000000000072E-2</v>
      </c>
      <c r="W177" s="38">
        <v>0</v>
      </c>
      <c r="X177" s="38">
        <v>90.9</v>
      </c>
      <c r="Y177" s="38">
        <v>108</v>
      </c>
      <c r="Z177" s="38">
        <v>80</v>
      </c>
      <c r="AA177" s="9">
        <v>0.8</v>
      </c>
      <c r="AB177" s="38">
        <v>0</v>
      </c>
      <c r="AC177" s="38">
        <v>4.2961252998727772E-3</v>
      </c>
      <c r="AD177" s="38">
        <v>1</v>
      </c>
      <c r="AE177" s="9">
        <v>-1.65912648661245</v>
      </c>
      <c r="AF177" s="38">
        <v>0</v>
      </c>
      <c r="AG177" s="9">
        <v>0.49166310389054502</v>
      </c>
      <c r="AH177" s="41">
        <v>0</v>
      </c>
      <c r="AI177" s="42">
        <v>0.57510192430583418</v>
      </c>
      <c r="AJ177" s="42">
        <v>0.15912813936691789</v>
      </c>
      <c r="AK177" s="9"/>
      <c r="AM177" s="9"/>
      <c r="AN177" s="9"/>
      <c r="AO177" s="9"/>
      <c r="AP177" s="9"/>
      <c r="AQ177" s="9"/>
      <c r="AR177" s="9"/>
      <c r="AS177" s="9"/>
      <c r="AU177" s="9"/>
      <c r="AV177" s="9"/>
      <c r="AW177" s="15"/>
      <c r="AX177" s="9"/>
      <c r="BC177" s="9"/>
      <c r="BD177" s="9"/>
      <c r="BE177" s="9"/>
      <c r="BF177" s="9"/>
      <c r="BG177" s="9"/>
      <c r="BL177" s="9"/>
      <c r="BM177" s="9"/>
      <c r="BN177" s="9"/>
      <c r="BO177" s="20"/>
      <c r="BP177" s="20"/>
      <c r="BQ177" s="9"/>
      <c r="BR177" s="9"/>
      <c r="BS177" s="21"/>
      <c r="BT177" s="9"/>
      <c r="BW177" s="2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</row>
    <row r="178" spans="1:87" ht="15">
      <c r="A178" s="13">
        <v>33055</v>
      </c>
      <c r="B178" s="12">
        <v>8974.3269999999993</v>
      </c>
      <c r="C178" s="9">
        <v>1</v>
      </c>
      <c r="D178" s="24">
        <v>24061</v>
      </c>
      <c r="E178" s="12">
        <v>67.186000000000007</v>
      </c>
      <c r="F178" s="12">
        <v>59.093000000000004</v>
      </c>
      <c r="G178" s="12">
        <v>91.64</v>
      </c>
      <c r="H178" s="34">
        <v>186.3</v>
      </c>
      <c r="I178" s="34">
        <v>5930.9</v>
      </c>
      <c r="J178" s="35">
        <v>67.786000000000001</v>
      </c>
      <c r="K178" s="35">
        <v>64.483999999999995</v>
      </c>
      <c r="L178" s="35">
        <v>79.626999999999995</v>
      </c>
      <c r="M178" s="5">
        <v>-1.2535616169951078</v>
      </c>
      <c r="N178" s="5">
        <v>0.1071795626636316</v>
      </c>
      <c r="O178" s="5">
        <v>-2.8324809158933864</v>
      </c>
      <c r="P178" s="6">
        <v>1</v>
      </c>
      <c r="Q178" s="6">
        <v>1</v>
      </c>
      <c r="R178" s="33">
        <v>0</v>
      </c>
      <c r="S178" s="5">
        <v>-3.4712999999999998</v>
      </c>
      <c r="T178" s="39">
        <v>10.199999999999999</v>
      </c>
      <c r="U178">
        <v>0</v>
      </c>
      <c r="V178" s="9">
        <v>3.9254000000000011E-2</v>
      </c>
      <c r="W178" s="38">
        <v>0</v>
      </c>
      <c r="X178" s="38">
        <v>79.099999999999994</v>
      </c>
      <c r="Y178" s="38">
        <v>99.1</v>
      </c>
      <c r="Z178" s="38">
        <v>66.3</v>
      </c>
      <c r="AA178" s="9">
        <v>-1</v>
      </c>
      <c r="AB178" s="38">
        <v>0</v>
      </c>
      <c r="AC178" s="38">
        <v>1.7435513839582528E-2</v>
      </c>
      <c r="AD178" s="38">
        <v>1</v>
      </c>
      <c r="AE178" s="9">
        <v>-2.5423385390281217</v>
      </c>
      <c r="AF178" s="38">
        <v>0</v>
      </c>
      <c r="AG178" s="9">
        <v>2.105934907466505</v>
      </c>
      <c r="AH178" s="41">
        <v>0</v>
      </c>
      <c r="AI178" s="42">
        <v>0.2065880353681129</v>
      </c>
      <c r="AJ178" s="42">
        <v>0.1128755857360801</v>
      </c>
      <c r="AK178" s="9"/>
      <c r="AM178" s="9"/>
      <c r="AN178" s="9"/>
      <c r="AO178" s="9"/>
      <c r="AP178" s="9"/>
      <c r="AQ178" s="9"/>
      <c r="AR178" s="9"/>
      <c r="AS178" s="9"/>
      <c r="AU178" s="9"/>
      <c r="AV178" s="9"/>
      <c r="AW178" s="15"/>
      <c r="AX178" s="9"/>
      <c r="BC178" s="9"/>
      <c r="BD178" s="9"/>
      <c r="BE178" s="9"/>
      <c r="BF178" s="9"/>
      <c r="BG178" s="9"/>
      <c r="BL178" s="9"/>
      <c r="BM178" s="9"/>
      <c r="BN178" s="9"/>
      <c r="BO178" s="20"/>
      <c r="BP178" s="20"/>
      <c r="BQ178" s="9"/>
      <c r="BR178" s="9"/>
      <c r="BS178" s="21"/>
      <c r="BT178" s="9"/>
      <c r="BW178" s="2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</row>
    <row r="179" spans="1:87" ht="15">
      <c r="A179" s="13">
        <v>33147</v>
      </c>
      <c r="B179" s="12">
        <v>8897.8349999999991</v>
      </c>
      <c r="C179" s="9">
        <v>1</v>
      </c>
      <c r="D179" s="24">
        <v>23951</v>
      </c>
      <c r="E179" s="12">
        <v>67.694000000000003</v>
      </c>
      <c r="F179" s="12">
        <v>58.316000000000003</v>
      </c>
      <c r="G179" s="12">
        <v>91.173000000000002</v>
      </c>
      <c r="H179" s="34">
        <v>182.1</v>
      </c>
      <c r="I179" s="34">
        <v>5947.2</v>
      </c>
      <c r="J179" s="35">
        <v>68.674999999999997</v>
      </c>
      <c r="K179" s="35">
        <v>63.962000000000003</v>
      </c>
      <c r="L179" s="35">
        <v>79.055999999999997</v>
      </c>
      <c r="M179" s="5">
        <v>-4.0449266458786513</v>
      </c>
      <c r="N179" s="5">
        <v>-2.5371800500718149</v>
      </c>
      <c r="O179" s="5">
        <v>-2.5050577297936494</v>
      </c>
      <c r="P179" s="6">
        <v>1</v>
      </c>
      <c r="Q179" s="6">
        <v>1</v>
      </c>
      <c r="R179" s="33">
        <v>0</v>
      </c>
      <c r="S179" s="5">
        <v>-2.2174999999999998</v>
      </c>
      <c r="T179" s="39">
        <v>-1.7</v>
      </c>
      <c r="U179">
        <v>1.9160373855505446E-2</v>
      </c>
      <c r="V179" s="9">
        <v>2.2996000000000016E-2</v>
      </c>
      <c r="W179" s="38">
        <v>0</v>
      </c>
      <c r="X179" s="38">
        <v>65.2</v>
      </c>
      <c r="Y179" s="38">
        <v>85</v>
      </c>
      <c r="Z179" s="38">
        <v>52.4</v>
      </c>
      <c r="AA179" s="9">
        <v>-0.5</v>
      </c>
      <c r="AB179" s="38">
        <v>0</v>
      </c>
      <c r="AC179" s="38">
        <v>2.2266120565537229E-3</v>
      </c>
      <c r="AD179" s="38">
        <v>1</v>
      </c>
      <c r="AE179" s="9">
        <v>-3.3327573911362207</v>
      </c>
      <c r="AF179" s="38">
        <v>0</v>
      </c>
      <c r="AG179" s="9">
        <v>1.7604166666666572</v>
      </c>
      <c r="AH179" s="41">
        <v>0</v>
      </c>
      <c r="AI179" s="42">
        <v>0.62797878407356278</v>
      </c>
      <c r="AJ179" s="42">
        <v>0.71231931246908431</v>
      </c>
      <c r="AK179" s="9"/>
      <c r="AM179" s="9"/>
      <c r="AN179" s="9"/>
      <c r="AO179" s="9"/>
      <c r="AP179" s="9"/>
      <c r="AQ179" s="9"/>
      <c r="AR179" s="9"/>
      <c r="AS179" s="9"/>
      <c r="AU179" s="9"/>
      <c r="AV179" s="9"/>
      <c r="AW179" s="15"/>
      <c r="AX179" s="9"/>
      <c r="BC179" s="9"/>
      <c r="BD179" s="9"/>
      <c r="BE179" s="9"/>
      <c r="BF179" s="9"/>
      <c r="BG179" s="9"/>
      <c r="BL179" s="9"/>
      <c r="BM179" s="9"/>
      <c r="BN179" s="9"/>
      <c r="BO179" s="20"/>
      <c r="BP179" s="20"/>
      <c r="BQ179" s="9"/>
      <c r="BR179" s="9"/>
      <c r="BS179" s="21"/>
      <c r="BT179" s="9"/>
      <c r="BW179" s="2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</row>
    <row r="180" spans="1:87" ht="15">
      <c r="A180" s="13">
        <v>33239</v>
      </c>
      <c r="B180" s="12">
        <v>8856.143</v>
      </c>
      <c r="C180" s="9">
        <v>1</v>
      </c>
      <c r="D180" s="24">
        <v>24003</v>
      </c>
      <c r="E180" s="12">
        <v>68.369</v>
      </c>
      <c r="F180" s="12">
        <v>57.883000000000003</v>
      </c>
      <c r="G180" s="12">
        <v>90.218000000000004</v>
      </c>
      <c r="H180" s="34">
        <v>228.2</v>
      </c>
      <c r="I180" s="34">
        <v>5998.7</v>
      </c>
      <c r="J180" s="35">
        <v>69.016000000000005</v>
      </c>
      <c r="K180" s="35">
        <v>64.159000000000006</v>
      </c>
      <c r="L180" s="35">
        <v>79.231999999999999</v>
      </c>
      <c r="M180" s="5">
        <v>-1.8027709680687958</v>
      </c>
      <c r="N180" s="5">
        <v>-0.91750624486921095</v>
      </c>
      <c r="O180" s="5">
        <v>-1.5732139616234282</v>
      </c>
      <c r="P180" s="6">
        <v>1</v>
      </c>
      <c r="Q180" s="6">
        <v>1</v>
      </c>
      <c r="R180" s="33">
        <v>0</v>
      </c>
      <c r="S180" s="5">
        <v>-0.96189999999999998</v>
      </c>
      <c r="T180" s="39">
        <v>-14.8</v>
      </c>
      <c r="U180">
        <v>0</v>
      </c>
      <c r="V180" s="9">
        <v>-8.2699999999999996E-3</v>
      </c>
      <c r="W180" s="38">
        <v>0.59782608699999995</v>
      </c>
      <c r="X180" s="38">
        <v>74.8</v>
      </c>
      <c r="Y180" s="38">
        <v>87</v>
      </c>
      <c r="Z180" s="38">
        <v>67</v>
      </c>
      <c r="AA180" s="9">
        <v>-0.7</v>
      </c>
      <c r="AB180" s="38">
        <v>0</v>
      </c>
      <c r="AC180" s="38">
        <v>-7.2980056613984878E-3</v>
      </c>
      <c r="AD180" s="38">
        <v>1</v>
      </c>
      <c r="AE180" s="9">
        <v>-5.9002005668115416</v>
      </c>
      <c r="AF180" s="38">
        <v>0</v>
      </c>
      <c r="AG180" s="9">
        <v>2.2622581635786787</v>
      </c>
      <c r="AH180" s="41">
        <v>0</v>
      </c>
      <c r="AI180" s="42">
        <v>0.86815231741906196</v>
      </c>
      <c r="AJ180" s="42">
        <v>1.039904696341827</v>
      </c>
      <c r="AK180" s="9"/>
      <c r="AM180" s="9"/>
      <c r="AN180" s="9"/>
      <c r="AO180" s="9"/>
      <c r="AP180" s="9"/>
      <c r="AQ180" s="9"/>
      <c r="AR180" s="9"/>
      <c r="AS180" s="9"/>
      <c r="AU180" s="9"/>
      <c r="AV180" s="9"/>
      <c r="AW180" s="15"/>
      <c r="AX180" s="9"/>
      <c r="BC180" s="9"/>
      <c r="BD180" s="9"/>
      <c r="BE180" s="9"/>
      <c r="BF180" s="9"/>
      <c r="BG180" s="9"/>
      <c r="BL180" s="9"/>
      <c r="BM180" s="9"/>
      <c r="BN180" s="9"/>
      <c r="BO180" s="20"/>
      <c r="BP180" s="20"/>
      <c r="BQ180" s="9"/>
      <c r="BR180" s="9"/>
      <c r="BS180" s="21"/>
      <c r="BT180" s="9"/>
      <c r="BW180" s="2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</row>
    <row r="181" spans="1:87" ht="15">
      <c r="A181" s="13">
        <v>33329</v>
      </c>
      <c r="B181" s="12">
        <v>8924.8580000000002</v>
      </c>
      <c r="C181" s="9">
        <v>0</v>
      </c>
      <c r="D181" s="24">
        <v>24277</v>
      </c>
      <c r="E181" s="12">
        <v>68.837000000000003</v>
      </c>
      <c r="F181" s="12">
        <v>58.469000000000001</v>
      </c>
      <c r="G181" s="12">
        <v>89.665999999999997</v>
      </c>
      <c r="H181" s="34">
        <v>240</v>
      </c>
      <c r="I181" s="34">
        <v>6055.6</v>
      </c>
      <c r="J181" s="35">
        <v>69.382999999999996</v>
      </c>
      <c r="K181" s="35">
        <v>65.207999999999998</v>
      </c>
      <c r="L181" s="35">
        <v>80.355000000000004</v>
      </c>
      <c r="M181" s="5">
        <v>3.3713385894022321</v>
      </c>
      <c r="N181" s="5">
        <v>3.1674996122768992</v>
      </c>
      <c r="O181" s="5">
        <v>-2.4248134136807908</v>
      </c>
      <c r="P181" s="6">
        <v>1</v>
      </c>
      <c r="Q181" s="6">
        <v>1</v>
      </c>
      <c r="R181" s="33">
        <v>0</v>
      </c>
      <c r="S181" s="5">
        <v>-2.7374999999999998</v>
      </c>
      <c r="T181" s="39">
        <v>1.8</v>
      </c>
      <c r="U181">
        <v>0</v>
      </c>
      <c r="V181" s="9">
        <v>2.0486000000000004E-2</v>
      </c>
      <c r="W181" s="38">
        <v>0</v>
      </c>
      <c r="X181" s="38">
        <v>80.8</v>
      </c>
      <c r="Y181" s="38">
        <v>91.3</v>
      </c>
      <c r="Z181" s="38">
        <v>74</v>
      </c>
      <c r="AA181" s="9">
        <v>-0.4</v>
      </c>
      <c r="AB181" s="38">
        <v>0</v>
      </c>
      <c r="AC181" s="38">
        <v>3.4952228191442947E-2</v>
      </c>
      <c r="AD181" s="38">
        <v>1</v>
      </c>
      <c r="AE181" s="9">
        <v>1.0675893208187182</v>
      </c>
      <c r="AF181" s="38">
        <v>0</v>
      </c>
      <c r="AG181" s="9">
        <v>-0.43688747195655253</v>
      </c>
      <c r="AH181" s="41">
        <v>0</v>
      </c>
      <c r="AI181" s="42">
        <v>0.32382967649350453</v>
      </c>
      <c r="AJ181" s="42">
        <v>-0.5017041830917226</v>
      </c>
      <c r="AK181" s="9"/>
      <c r="AM181" s="9"/>
      <c r="AN181" s="9"/>
      <c r="AO181" s="9"/>
      <c r="AP181" s="9"/>
      <c r="AQ181" s="9"/>
      <c r="AR181" s="9"/>
      <c r="AS181" s="9"/>
      <c r="AU181" s="9"/>
      <c r="AV181" s="9"/>
      <c r="AW181" s="15"/>
      <c r="AX181" s="9"/>
      <c r="BC181" s="9"/>
      <c r="BD181" s="9"/>
      <c r="BE181" s="9"/>
      <c r="BF181" s="9"/>
      <c r="BG181" s="9"/>
      <c r="BL181" s="9"/>
      <c r="BM181" s="9"/>
      <c r="BN181" s="9"/>
      <c r="BO181" s="20"/>
      <c r="BP181" s="20"/>
      <c r="BQ181" s="9"/>
      <c r="BR181" s="9"/>
      <c r="BS181" s="21"/>
      <c r="BT181" s="9"/>
      <c r="BW181" s="2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</row>
    <row r="182" spans="1:87" ht="15">
      <c r="A182" s="13">
        <v>33420</v>
      </c>
      <c r="B182" s="12">
        <v>8967.6949999999997</v>
      </c>
      <c r="C182" s="9">
        <v>0</v>
      </c>
      <c r="D182" s="24">
        <v>24485</v>
      </c>
      <c r="E182" s="12">
        <v>69.341999999999999</v>
      </c>
      <c r="F182" s="12">
        <v>58.814999999999998</v>
      </c>
      <c r="G182" s="12">
        <v>89.561000000000007</v>
      </c>
      <c r="H182" s="34">
        <v>241.9</v>
      </c>
      <c r="I182" s="34">
        <v>6116.2</v>
      </c>
      <c r="J182" s="35">
        <v>69.852999999999994</v>
      </c>
      <c r="K182" s="35">
        <v>65.67</v>
      </c>
      <c r="L182" s="35">
        <v>80.802000000000007</v>
      </c>
      <c r="M182" s="5">
        <v>1.2041615336639051</v>
      </c>
      <c r="N182" s="5">
        <v>-3.4865429569756579E-2</v>
      </c>
      <c r="O182" s="5">
        <v>-2.61878848564871</v>
      </c>
      <c r="P182" s="6">
        <v>1</v>
      </c>
      <c r="Q182" s="6">
        <v>1</v>
      </c>
      <c r="R182" s="33">
        <v>0</v>
      </c>
      <c r="S182" s="5">
        <v>0.86950000000000005</v>
      </c>
      <c r="T182" s="39">
        <v>0</v>
      </c>
      <c r="U182">
        <v>0</v>
      </c>
      <c r="V182" s="9">
        <v>-4.781599999999997E-2</v>
      </c>
      <c r="W182" s="38">
        <v>0</v>
      </c>
      <c r="X182" s="38">
        <v>82.6</v>
      </c>
      <c r="Y182" s="38">
        <v>93.9</v>
      </c>
      <c r="Z182" s="38">
        <v>75.400000000000006</v>
      </c>
      <c r="AA182" s="9">
        <v>-0.4</v>
      </c>
      <c r="AB182" s="38">
        <v>0</v>
      </c>
      <c r="AC182" s="38">
        <v>1.1663727497089438E-2</v>
      </c>
      <c r="AD182" s="38">
        <v>1</v>
      </c>
      <c r="AE182" s="9">
        <v>1.4402626882608516</v>
      </c>
      <c r="AF182" s="38">
        <v>0</v>
      </c>
      <c r="AG182" s="9">
        <v>-0.59297912713472556</v>
      </c>
      <c r="AH182" s="41">
        <v>0</v>
      </c>
      <c r="AI182" s="42">
        <v>0.48314362505882352</v>
      </c>
      <c r="AJ182" s="42">
        <v>0.13294776219148211</v>
      </c>
      <c r="AK182" s="9"/>
      <c r="AM182" s="9"/>
      <c r="AN182" s="9"/>
      <c r="AO182" s="9"/>
      <c r="AP182" s="9"/>
      <c r="AQ182" s="9"/>
      <c r="AR182" s="9"/>
      <c r="AS182" s="9"/>
      <c r="AU182" s="9"/>
      <c r="AV182" s="9"/>
      <c r="AW182" s="15"/>
      <c r="AX182" s="9"/>
      <c r="BC182" s="9"/>
      <c r="BD182" s="9"/>
      <c r="BE182" s="9"/>
      <c r="BF182" s="9"/>
      <c r="BG182" s="9"/>
      <c r="BL182" s="9"/>
      <c r="BM182" s="9"/>
      <c r="BN182" s="9"/>
      <c r="BO182" s="20"/>
      <c r="BP182" s="20"/>
      <c r="BQ182" s="9"/>
      <c r="BR182" s="9"/>
      <c r="BS182" s="21"/>
      <c r="BT182" s="9"/>
      <c r="BW182" s="2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</row>
    <row r="183" spans="1:87" ht="15">
      <c r="A183" s="13">
        <v>33512</v>
      </c>
      <c r="B183" s="12">
        <v>9006.8349999999991</v>
      </c>
      <c r="C183" s="9">
        <v>0</v>
      </c>
      <c r="D183" s="24">
        <v>24641</v>
      </c>
      <c r="E183" s="12">
        <v>69.716999999999999</v>
      </c>
      <c r="F183" s="12">
        <v>59.061</v>
      </c>
      <c r="G183" s="12">
        <v>89.453999999999994</v>
      </c>
      <c r="H183" s="34">
        <v>235</v>
      </c>
      <c r="I183" s="34">
        <v>6172.2</v>
      </c>
      <c r="J183" s="35">
        <v>70.353999999999999</v>
      </c>
      <c r="K183" s="35">
        <v>66.024000000000001</v>
      </c>
      <c r="L183" s="35">
        <v>81.22</v>
      </c>
      <c r="M183" s="5">
        <v>0.10167657395162299</v>
      </c>
      <c r="N183" s="5">
        <v>-1.6280778018379745</v>
      </c>
      <c r="O183" s="5">
        <v>-2.6807967974508942</v>
      </c>
      <c r="P183" s="6">
        <v>1</v>
      </c>
      <c r="Q183" s="6">
        <v>1</v>
      </c>
      <c r="R183" s="33">
        <v>0</v>
      </c>
      <c r="S183" s="5">
        <v>0.35670000000000002</v>
      </c>
      <c r="T183" s="39">
        <v>10.5</v>
      </c>
      <c r="U183">
        <v>-1.8578963433061674E-2</v>
      </c>
      <c r="V183" s="9">
        <v>5.5906999999999929E-2</v>
      </c>
      <c r="W183" s="38">
        <v>0</v>
      </c>
      <c r="X183" s="38">
        <v>71.900000000000006</v>
      </c>
      <c r="Y183" s="38">
        <v>83.1</v>
      </c>
      <c r="Z183" s="38">
        <v>64.599999999999994</v>
      </c>
      <c r="AA183" s="9">
        <v>0.2</v>
      </c>
      <c r="AB183" s="38">
        <v>0</v>
      </c>
      <c r="AC183" s="38">
        <v>2.6775218420873381E-2</v>
      </c>
      <c r="AD183" s="38">
        <v>1</v>
      </c>
      <c r="AE183" s="9">
        <v>1.4835629478942902</v>
      </c>
      <c r="AF183" s="38">
        <v>0</v>
      </c>
      <c r="AG183" s="9">
        <v>1.4793605344786585</v>
      </c>
      <c r="AH183" s="41">
        <v>0</v>
      </c>
      <c r="AI183" s="42">
        <v>0.25902613978269379</v>
      </c>
      <c r="AJ183" s="42">
        <v>-0.14961460125564391</v>
      </c>
      <c r="AK183" s="9"/>
      <c r="AM183" s="9"/>
      <c r="AN183" s="9"/>
      <c r="AO183" s="9"/>
      <c r="AP183" s="9"/>
      <c r="AQ183" s="9"/>
      <c r="AR183" s="9"/>
      <c r="AS183" s="9"/>
      <c r="AU183" s="9"/>
      <c r="AV183" s="9"/>
      <c r="AW183" s="15"/>
      <c r="AX183" s="9"/>
      <c r="BC183" s="9"/>
      <c r="BD183" s="9"/>
      <c r="BE183" s="9"/>
      <c r="BF183" s="9"/>
      <c r="BG183" s="9"/>
      <c r="BL183" s="9"/>
      <c r="BM183" s="9"/>
      <c r="BN183" s="9"/>
      <c r="BO183" s="20"/>
      <c r="BP183" s="20"/>
      <c r="BQ183" s="9"/>
      <c r="BR183" s="9"/>
      <c r="BS183" s="21"/>
      <c r="BT183" s="9"/>
      <c r="BW183" s="2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</row>
    <row r="184" spans="1:87" ht="15">
      <c r="A184" s="13">
        <v>33604</v>
      </c>
      <c r="B184" s="12">
        <v>9113.23</v>
      </c>
      <c r="C184" s="9">
        <v>0</v>
      </c>
      <c r="D184" s="24">
        <v>24965</v>
      </c>
      <c r="E184" s="12">
        <v>70.016999999999996</v>
      </c>
      <c r="F184" s="12">
        <v>59.862000000000002</v>
      </c>
      <c r="G184" s="12">
        <v>88.988</v>
      </c>
      <c r="H184" s="34">
        <v>249.8</v>
      </c>
      <c r="I184" s="34">
        <v>6307.1</v>
      </c>
      <c r="J184" s="35">
        <v>70.787000000000006</v>
      </c>
      <c r="K184" s="35">
        <v>67.27</v>
      </c>
      <c r="L184" s="35">
        <v>82.790999999999997</v>
      </c>
      <c r="M184" s="5">
        <v>9.4007085020525238</v>
      </c>
      <c r="N184" s="5">
        <v>7.9572270664307743</v>
      </c>
      <c r="O184" s="5">
        <v>-3.3070921466582845</v>
      </c>
      <c r="P184" s="6">
        <v>1</v>
      </c>
      <c r="Q184" s="6">
        <v>1</v>
      </c>
      <c r="R184" s="33">
        <v>0</v>
      </c>
      <c r="S184" s="5">
        <v>0.59409999999999996</v>
      </c>
      <c r="T184" s="39">
        <v>9.3000000000000007</v>
      </c>
      <c r="U184">
        <v>0</v>
      </c>
      <c r="V184" s="9">
        <v>7.8700000000000436E-3</v>
      </c>
      <c r="W184" s="38">
        <v>0</v>
      </c>
      <c r="X184" s="38">
        <v>70.7</v>
      </c>
      <c r="Y184" s="38">
        <v>81.7</v>
      </c>
      <c r="Z184" s="38">
        <v>63.7</v>
      </c>
      <c r="AA184" s="9">
        <v>0.3</v>
      </c>
      <c r="AB184" s="38">
        <v>0</v>
      </c>
      <c r="AC184" s="38">
        <v>2.4661632096429909E-2</v>
      </c>
      <c r="AD184" s="38">
        <v>1</v>
      </c>
      <c r="AE184" s="9">
        <v>-0.58276578332353557</v>
      </c>
      <c r="AF184" s="38">
        <v>0</v>
      </c>
      <c r="AG184" s="9">
        <v>1.5988713849047826</v>
      </c>
      <c r="AH184" s="41">
        <v>0</v>
      </c>
      <c r="AI184" s="42">
        <v>0.16177889010524871</v>
      </c>
      <c r="AJ184" s="42">
        <v>-0.27690434514154921</v>
      </c>
      <c r="AK184" s="9"/>
      <c r="AM184" s="9"/>
      <c r="AN184" s="9"/>
      <c r="AO184" s="9"/>
      <c r="AP184" s="9"/>
      <c r="AQ184" s="9"/>
      <c r="AR184" s="9"/>
      <c r="AS184" s="9"/>
      <c r="AU184" s="9"/>
      <c r="AV184" s="9"/>
      <c r="AW184" s="15"/>
      <c r="AX184" s="9"/>
      <c r="BC184" s="9"/>
      <c r="BD184" s="9"/>
      <c r="BE184" s="9"/>
      <c r="BF184" s="9"/>
      <c r="BG184" s="9"/>
      <c r="BL184" s="9"/>
      <c r="BM184" s="9"/>
      <c r="BN184" s="9"/>
      <c r="BO184" s="20"/>
      <c r="BP184" s="20"/>
      <c r="BQ184" s="9"/>
      <c r="BR184" s="9"/>
      <c r="BS184" s="21"/>
      <c r="BT184" s="9"/>
      <c r="BW184" s="2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</row>
    <row r="185" spans="1:87" ht="15">
      <c r="A185" s="13">
        <v>33695</v>
      </c>
      <c r="B185" s="12">
        <v>9213.6949999999997</v>
      </c>
      <c r="C185" s="9">
        <v>0</v>
      </c>
      <c r="D185" s="24">
        <v>25317</v>
      </c>
      <c r="E185" s="12">
        <v>70.462999999999994</v>
      </c>
      <c r="F185" s="12">
        <v>60.597000000000001</v>
      </c>
      <c r="G185" s="12">
        <v>89.376000000000005</v>
      </c>
      <c r="H185" s="34">
        <v>252.5</v>
      </c>
      <c r="I185" s="34">
        <v>6399.1</v>
      </c>
      <c r="J185" s="35">
        <v>71.257000000000005</v>
      </c>
      <c r="K185" s="35">
        <v>67.8</v>
      </c>
      <c r="L185" s="35">
        <v>82.965000000000003</v>
      </c>
      <c r="M185" s="5">
        <v>1.810329589789887</v>
      </c>
      <c r="N185" s="5">
        <v>1.2660086308300622</v>
      </c>
      <c r="O185" s="5">
        <v>-3.4396371363623932</v>
      </c>
      <c r="P185" s="6">
        <v>1</v>
      </c>
      <c r="Q185" s="6">
        <v>1</v>
      </c>
      <c r="R185" s="33">
        <v>0</v>
      </c>
      <c r="S185" s="5">
        <v>0.33250000000000002</v>
      </c>
      <c r="T185" s="39">
        <v>18.2</v>
      </c>
      <c r="U185">
        <v>0</v>
      </c>
      <c r="V185" s="9">
        <v>-8.7540000000000395E-3</v>
      </c>
      <c r="W185" s="38">
        <v>0</v>
      </c>
      <c r="X185" s="38">
        <v>78.900000000000006</v>
      </c>
      <c r="Y185" s="38">
        <v>91.6</v>
      </c>
      <c r="Z185" s="38">
        <v>70.8</v>
      </c>
      <c r="AA185" s="9">
        <v>0.1</v>
      </c>
      <c r="AB185" s="38">
        <v>0</v>
      </c>
      <c r="AC185" s="38">
        <v>-2.9119010684548474E-3</v>
      </c>
      <c r="AD185" s="38">
        <v>1</v>
      </c>
      <c r="AE185" s="9">
        <v>1.1445924359291704</v>
      </c>
      <c r="AF185" s="38">
        <v>0</v>
      </c>
      <c r="AG185" s="9">
        <v>-0.786854894700312</v>
      </c>
      <c r="AH185" s="41">
        <v>0</v>
      </c>
      <c r="AI185" s="42">
        <v>0.36046208491419163</v>
      </c>
      <c r="AJ185" s="42">
        <v>0.43604003142010578</v>
      </c>
      <c r="AK185" s="9"/>
      <c r="AM185" s="9"/>
      <c r="AN185" s="9"/>
      <c r="AO185" s="9"/>
      <c r="AP185" s="9"/>
      <c r="AQ185" s="9"/>
      <c r="AR185" s="9"/>
      <c r="AS185" s="9"/>
      <c r="AU185" s="9"/>
      <c r="AV185" s="9"/>
      <c r="AW185" s="15"/>
      <c r="AX185" s="9"/>
      <c r="BC185" s="9"/>
      <c r="BD185" s="9"/>
      <c r="BE185" s="9"/>
      <c r="BF185" s="9"/>
      <c r="BG185" s="9"/>
      <c r="BL185" s="9"/>
      <c r="BM185" s="9"/>
      <c r="BN185" s="9"/>
      <c r="BO185" s="20"/>
      <c r="BP185" s="20"/>
      <c r="BQ185" s="9"/>
      <c r="BR185" s="9"/>
      <c r="BS185" s="21"/>
      <c r="BT185" s="9"/>
      <c r="BW185" s="2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</row>
    <row r="186" spans="1:87" ht="15">
      <c r="A186" s="13">
        <v>33786</v>
      </c>
      <c r="B186" s="12">
        <v>9303.2540000000008</v>
      </c>
      <c r="C186" s="9">
        <v>0</v>
      </c>
      <c r="D186" s="24">
        <v>25590</v>
      </c>
      <c r="E186" s="12">
        <v>70.798000000000002</v>
      </c>
      <c r="F186" s="12">
        <v>61.249000000000002</v>
      </c>
      <c r="G186" s="12">
        <v>89.552000000000007</v>
      </c>
      <c r="H186" s="34">
        <v>247.9</v>
      </c>
      <c r="I186" s="34">
        <v>6450</v>
      </c>
      <c r="J186" s="35">
        <v>71.710999999999999</v>
      </c>
      <c r="K186" s="35">
        <v>68.394999999999996</v>
      </c>
      <c r="L186" s="35">
        <v>83.394999999999996</v>
      </c>
      <c r="M186" s="5">
        <v>0.5098998846387377</v>
      </c>
      <c r="N186" s="5">
        <v>0.9702015163870743</v>
      </c>
      <c r="O186" s="5">
        <v>-3.6777750125394721</v>
      </c>
      <c r="P186" s="6">
        <v>1</v>
      </c>
      <c r="Q186" s="6">
        <v>1</v>
      </c>
      <c r="R186" s="33">
        <v>0</v>
      </c>
      <c r="S186" s="5">
        <v>0.36049999999999999</v>
      </c>
      <c r="T186" s="39">
        <v>21.1</v>
      </c>
      <c r="U186">
        <v>0</v>
      </c>
      <c r="V186" s="9">
        <v>6.473000000000062E-3</v>
      </c>
      <c r="W186" s="38">
        <v>0</v>
      </c>
      <c r="X186" s="38">
        <v>76.099999999999994</v>
      </c>
      <c r="Y186" s="38">
        <v>88.4</v>
      </c>
      <c r="Z186" s="38">
        <v>68.2</v>
      </c>
      <c r="AA186" s="9">
        <v>0.8</v>
      </c>
      <c r="AB186" s="38">
        <v>0</v>
      </c>
      <c r="AC186" s="38">
        <v>-1.9593079192622431E-3</v>
      </c>
      <c r="AD186" s="38">
        <v>1</v>
      </c>
      <c r="AE186" s="9">
        <v>1.5073527019026312</v>
      </c>
      <c r="AF186" s="38">
        <v>0</v>
      </c>
      <c r="AG186" s="9">
        <v>-0.39654770235594583</v>
      </c>
      <c r="AH186" s="41">
        <v>0</v>
      </c>
      <c r="AI186" s="42">
        <v>0.39075731606982272</v>
      </c>
      <c r="AJ186" s="42">
        <v>0.5870921606783559</v>
      </c>
      <c r="AK186" s="9"/>
      <c r="AM186" s="9"/>
      <c r="AN186" s="9"/>
      <c r="AO186" s="9"/>
      <c r="AP186" s="9"/>
      <c r="AQ186" s="9"/>
      <c r="AR186" s="9"/>
      <c r="AS186" s="9"/>
      <c r="AU186" s="9"/>
      <c r="AV186" s="9"/>
      <c r="AW186" s="15"/>
      <c r="AX186" s="9"/>
      <c r="BC186" s="9"/>
      <c r="BD186" s="9"/>
      <c r="BE186" s="9"/>
      <c r="BF186" s="9"/>
      <c r="BG186" s="9"/>
      <c r="BL186" s="9"/>
      <c r="BM186" s="9"/>
      <c r="BN186" s="9"/>
      <c r="BO186" s="20"/>
      <c r="BP186" s="20"/>
      <c r="BQ186" s="9"/>
      <c r="BR186" s="9"/>
      <c r="BS186" s="21"/>
      <c r="BT186" s="9"/>
      <c r="BW186" s="2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</row>
    <row r="187" spans="1:87" ht="15">
      <c r="A187" s="13">
        <v>33878</v>
      </c>
      <c r="B187" s="12">
        <v>9396.4639999999999</v>
      </c>
      <c r="C187" s="9">
        <v>0</v>
      </c>
      <c r="D187" s="24">
        <v>25932</v>
      </c>
      <c r="E187" s="12">
        <v>71.277000000000001</v>
      </c>
      <c r="F187" s="12">
        <v>62.030999999999999</v>
      </c>
      <c r="G187" s="12">
        <v>90.164000000000001</v>
      </c>
      <c r="H187" s="34">
        <v>263.8</v>
      </c>
      <c r="I187" s="34">
        <v>6557.4</v>
      </c>
      <c r="J187" s="35">
        <v>72.215999999999994</v>
      </c>
      <c r="K187" s="35">
        <v>68.798000000000002</v>
      </c>
      <c r="L187" s="35">
        <v>83.313999999999993</v>
      </c>
      <c r="M187" s="5">
        <v>0.75080156176349377</v>
      </c>
      <c r="N187" s="5">
        <v>1.8237142659185648</v>
      </c>
      <c r="O187" s="5">
        <v>-3.5685123280573112</v>
      </c>
      <c r="P187" s="6">
        <v>1</v>
      </c>
      <c r="Q187" s="6">
        <v>1</v>
      </c>
      <c r="R187" s="33">
        <v>0</v>
      </c>
      <c r="S187" s="5">
        <v>0.57889999999999997</v>
      </c>
      <c r="T187" s="39">
        <v>16.399999999999999</v>
      </c>
      <c r="U187">
        <v>0</v>
      </c>
      <c r="V187" s="9">
        <v>6.8736000000000019E-2</v>
      </c>
      <c r="W187" s="38">
        <v>0</v>
      </c>
      <c r="X187" s="38">
        <v>83.3</v>
      </c>
      <c r="Y187" s="38">
        <v>90.8</v>
      </c>
      <c r="Z187" s="38">
        <v>78.5</v>
      </c>
      <c r="AA187" s="9">
        <v>0.9</v>
      </c>
      <c r="AB187" s="38">
        <v>0</v>
      </c>
      <c r="AC187" s="38">
        <v>-8.7272205691548699E-3</v>
      </c>
      <c r="AD187" s="38">
        <v>1</v>
      </c>
      <c r="AE187" s="9">
        <v>1.5438127086310871</v>
      </c>
      <c r="AF187" s="38">
        <v>0</v>
      </c>
      <c r="AG187" s="9">
        <v>-1.1709601873548081E-2</v>
      </c>
      <c r="AH187" s="41">
        <v>0</v>
      </c>
      <c r="AI187" s="42">
        <v>0.82693791305018605</v>
      </c>
      <c r="AJ187" s="42">
        <v>0.39521149014357881</v>
      </c>
      <c r="AK187" s="9"/>
      <c r="AM187" s="9"/>
      <c r="AN187" s="9"/>
      <c r="AO187" s="9"/>
      <c r="AP187" s="9"/>
      <c r="AQ187" s="9"/>
      <c r="AR187" s="9"/>
      <c r="AS187" s="9"/>
      <c r="AU187" s="9"/>
      <c r="AV187" s="9"/>
      <c r="AW187" s="15"/>
      <c r="AX187" s="9"/>
      <c r="BC187" s="9"/>
      <c r="BD187" s="9"/>
      <c r="BE187" s="9"/>
      <c r="BF187" s="9"/>
      <c r="BG187" s="9"/>
      <c r="BL187" s="9"/>
      <c r="BM187" s="9"/>
      <c r="BN187" s="9"/>
      <c r="BO187" s="20"/>
      <c r="BP187" s="20"/>
      <c r="BQ187" s="9"/>
      <c r="BR187" s="9"/>
      <c r="BS187" s="21"/>
      <c r="BT187" s="9"/>
      <c r="BW187" s="2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</row>
    <row r="188" spans="1:87" ht="15">
      <c r="A188" s="13">
        <v>33970</v>
      </c>
      <c r="B188" s="12">
        <v>9413.9549999999999</v>
      </c>
      <c r="C188" s="9">
        <v>0</v>
      </c>
      <c r="D188" s="24">
        <v>26051</v>
      </c>
      <c r="E188" s="12">
        <v>71.682000000000002</v>
      </c>
      <c r="F188" s="12">
        <v>62.079000000000001</v>
      </c>
      <c r="G188" s="12">
        <v>90.944999999999993</v>
      </c>
      <c r="H188" s="34">
        <v>240.3</v>
      </c>
      <c r="I188" s="34">
        <v>6567.7</v>
      </c>
      <c r="J188" s="35">
        <v>72.644999999999996</v>
      </c>
      <c r="K188" s="35">
        <v>68.260000000000005</v>
      </c>
      <c r="L188" s="35">
        <v>82.128</v>
      </c>
      <c r="M188" s="5">
        <v>-5.1375586459822973</v>
      </c>
      <c r="N188" s="5">
        <v>-4.1699156575675858</v>
      </c>
      <c r="O188" s="5">
        <v>-3.6506989730637818</v>
      </c>
      <c r="P188" s="6">
        <v>1</v>
      </c>
      <c r="Q188" s="6">
        <v>1</v>
      </c>
      <c r="R188" s="33">
        <v>0</v>
      </c>
      <c r="S188" s="5">
        <v>0.91359999999999997</v>
      </c>
      <c r="T188" s="39">
        <v>14.8</v>
      </c>
      <c r="U188">
        <v>0</v>
      </c>
      <c r="V188" s="9">
        <v>4.9601999999999924E-2</v>
      </c>
      <c r="W188" s="38">
        <v>0</v>
      </c>
      <c r="X188" s="38">
        <v>87.3</v>
      </c>
      <c r="Y188" s="38">
        <v>98.7</v>
      </c>
      <c r="Z188" s="38">
        <v>79.900000000000006</v>
      </c>
      <c r="AA188" s="9">
        <v>0.8</v>
      </c>
      <c r="AB188" s="38">
        <v>0</v>
      </c>
      <c r="AC188" s="38">
        <v>-2.7264892482664393E-2</v>
      </c>
      <c r="AD188" s="38">
        <v>1</v>
      </c>
      <c r="AE188" s="9">
        <v>2.9950903435029597</v>
      </c>
      <c r="AF188" s="38">
        <v>0</v>
      </c>
      <c r="AG188" s="9">
        <v>-0.93687785454970651</v>
      </c>
      <c r="AH188" s="41">
        <v>0</v>
      </c>
      <c r="AI188" s="42">
        <v>0.95583097984397414</v>
      </c>
      <c r="AJ188" s="42">
        <v>0.77876473978759886</v>
      </c>
      <c r="AK188" s="9"/>
      <c r="AM188" s="9"/>
      <c r="AN188" s="9"/>
      <c r="AO188" s="9"/>
      <c r="AP188" s="9"/>
      <c r="AQ188" s="9"/>
      <c r="AR188" s="9"/>
      <c r="AS188" s="9"/>
      <c r="AU188" s="9"/>
      <c r="AV188" s="9"/>
      <c r="AW188" s="15"/>
      <c r="AX188" s="9"/>
      <c r="BC188" s="9"/>
      <c r="BD188" s="9"/>
      <c r="BE188" s="9"/>
      <c r="BF188" s="9"/>
      <c r="BG188" s="9"/>
      <c r="BL188" s="9"/>
      <c r="BM188" s="9"/>
      <c r="BN188" s="9"/>
      <c r="BO188" s="20"/>
      <c r="BP188" s="20"/>
      <c r="BQ188" s="9"/>
      <c r="BR188" s="9"/>
      <c r="BS188" s="21"/>
      <c r="BT188" s="9"/>
      <c r="BW188" s="2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</row>
    <row r="189" spans="1:87" ht="15">
      <c r="A189" s="13">
        <v>34060</v>
      </c>
      <c r="B189" s="12">
        <v>9469.9259999999995</v>
      </c>
      <c r="C189" s="9">
        <v>0</v>
      </c>
      <c r="D189" s="24">
        <v>26285</v>
      </c>
      <c r="E189" s="12">
        <v>72.117999999999995</v>
      </c>
      <c r="F189" s="12">
        <v>62.451000000000001</v>
      </c>
      <c r="G189" s="12">
        <v>92.001000000000005</v>
      </c>
      <c r="H189" s="34">
        <v>266.3</v>
      </c>
      <c r="I189" s="34">
        <v>6689</v>
      </c>
      <c r="J189" s="35">
        <v>73.135000000000005</v>
      </c>
      <c r="K189" s="35">
        <v>67.881</v>
      </c>
      <c r="L189" s="35">
        <v>82.192999999999998</v>
      </c>
      <c r="M189" s="5">
        <v>0.25379931696926922</v>
      </c>
      <c r="N189" s="5">
        <v>0.43465549479077181</v>
      </c>
      <c r="O189" s="5">
        <v>-3.0089759008608397</v>
      </c>
      <c r="P189" s="6">
        <v>1</v>
      </c>
      <c r="Q189" s="6">
        <v>1</v>
      </c>
      <c r="R189" s="33">
        <v>0</v>
      </c>
      <c r="S189" s="5">
        <v>0.12590000000000001</v>
      </c>
      <c r="T189" s="39">
        <v>26.3</v>
      </c>
      <c r="U189">
        <v>0</v>
      </c>
      <c r="V189" s="9">
        <v>0.10435400000000006</v>
      </c>
      <c r="W189" s="38">
        <v>0</v>
      </c>
      <c r="X189" s="38">
        <v>82.5</v>
      </c>
      <c r="Y189" s="38">
        <v>99.1</v>
      </c>
      <c r="Z189" s="38">
        <v>71.8</v>
      </c>
      <c r="AA189" s="9">
        <v>0.6</v>
      </c>
      <c r="AB189" s="38">
        <v>0</v>
      </c>
      <c r="AC189" s="38">
        <v>4.6312243558099819E-3</v>
      </c>
      <c r="AD189" s="38">
        <v>1</v>
      </c>
      <c r="AE189" s="9">
        <v>2.6261123301403622</v>
      </c>
      <c r="AF189" s="38">
        <v>0</v>
      </c>
      <c r="AG189" s="9">
        <v>3.5465185010053801E-2</v>
      </c>
      <c r="AH189" s="41">
        <v>0</v>
      </c>
      <c r="AI189" s="42">
        <v>0.56711187595508117</v>
      </c>
      <c r="AJ189" s="42">
        <v>0.21104063854020769</v>
      </c>
      <c r="AK189" s="9"/>
      <c r="AM189" s="9"/>
      <c r="AN189" s="9"/>
      <c r="AO189" s="9"/>
      <c r="AP189" s="9"/>
      <c r="AQ189" s="9"/>
      <c r="AR189" s="9"/>
      <c r="AS189" s="9"/>
      <c r="AU189" s="9"/>
      <c r="AV189" s="9"/>
      <c r="AW189" s="15"/>
      <c r="AX189" s="9"/>
      <c r="BC189" s="9"/>
      <c r="BD189" s="9"/>
      <c r="BE189" s="9"/>
      <c r="BF189" s="9"/>
      <c r="BG189" s="9"/>
      <c r="BL189" s="9"/>
      <c r="BM189" s="9"/>
      <c r="BN189" s="9"/>
      <c r="BO189" s="20"/>
      <c r="BP189" s="20"/>
      <c r="BQ189" s="9"/>
      <c r="BR189" s="9"/>
      <c r="BS189" s="21"/>
      <c r="BT189" s="9"/>
      <c r="BW189" s="2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</row>
    <row r="190" spans="1:87" ht="15">
      <c r="A190" s="13">
        <v>34151</v>
      </c>
      <c r="B190" s="12">
        <v>9516.0930000000008</v>
      </c>
      <c r="C190" s="9">
        <v>0</v>
      </c>
      <c r="D190" s="24">
        <v>26482</v>
      </c>
      <c r="E190" s="12">
        <v>72.552999999999997</v>
      </c>
      <c r="F190" s="12">
        <v>62.93</v>
      </c>
      <c r="G190" s="12">
        <v>92.471000000000004</v>
      </c>
      <c r="H190" s="34">
        <v>281.39999999999998</v>
      </c>
      <c r="I190" s="34">
        <v>6740.8</v>
      </c>
      <c r="J190" s="35">
        <v>73.453999999999994</v>
      </c>
      <c r="K190" s="35">
        <v>68.054000000000002</v>
      </c>
      <c r="L190" s="35">
        <v>81.941999999999993</v>
      </c>
      <c r="M190" s="5">
        <v>-2.0093616576862243</v>
      </c>
      <c r="N190" s="5">
        <v>-2.8737359479500109</v>
      </c>
      <c r="O190" s="5">
        <v>-3.0600217197189057</v>
      </c>
      <c r="P190" s="6">
        <v>1</v>
      </c>
      <c r="Q190" s="6">
        <v>1</v>
      </c>
      <c r="R190" s="33">
        <v>0</v>
      </c>
      <c r="S190" s="5">
        <v>0.58709999999999996</v>
      </c>
      <c r="T190" s="39">
        <v>25.9</v>
      </c>
      <c r="U190">
        <v>0</v>
      </c>
      <c r="V190" s="9">
        <v>9.14399999999993E-3</v>
      </c>
      <c r="W190" s="38">
        <v>0.34159350399999999</v>
      </c>
      <c r="X190" s="38">
        <v>77.400000000000006</v>
      </c>
      <c r="Y190" s="38">
        <v>95.5</v>
      </c>
      <c r="Z190" s="38">
        <v>65.8</v>
      </c>
      <c r="AA190" s="9">
        <v>0.9</v>
      </c>
      <c r="AB190" s="38">
        <v>0</v>
      </c>
      <c r="AC190" s="38">
        <v>9.097807006094305E-3</v>
      </c>
      <c r="AD190" s="38">
        <v>1</v>
      </c>
      <c r="AE190" s="9">
        <v>2.5402996105480469</v>
      </c>
      <c r="AF190" s="38">
        <v>0</v>
      </c>
      <c r="AG190" s="9">
        <v>0.69723469628928569</v>
      </c>
      <c r="AH190" s="41">
        <v>0</v>
      </c>
      <c r="AI190" s="42">
        <v>0.99657473860662316</v>
      </c>
      <c r="AJ190" s="42">
        <v>1.0190261735501069</v>
      </c>
      <c r="AK190" s="9"/>
      <c r="AM190" s="9"/>
      <c r="AN190" s="9"/>
      <c r="AO190" s="9"/>
      <c r="AP190" s="9"/>
      <c r="AQ190" s="9"/>
      <c r="AR190" s="9"/>
      <c r="AS190" s="9"/>
      <c r="AU190" s="9"/>
      <c r="AV190" s="9"/>
      <c r="AW190" s="15"/>
      <c r="AX190" s="9"/>
      <c r="BC190" s="9"/>
      <c r="BD190" s="9"/>
      <c r="BE190" s="9"/>
      <c r="BF190" s="9"/>
      <c r="BG190" s="9"/>
      <c r="BL190" s="9"/>
      <c r="BM190" s="9"/>
      <c r="BN190" s="9"/>
      <c r="BO190" s="20"/>
      <c r="BP190" s="20"/>
      <c r="BQ190" s="9"/>
      <c r="BR190" s="9"/>
      <c r="BS190" s="21"/>
      <c r="BT190" s="9"/>
      <c r="BW190" s="2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</row>
    <row r="191" spans="1:87" ht="15">
      <c r="A191" s="13">
        <v>34243</v>
      </c>
      <c r="B191" s="12">
        <v>9643.1200000000008</v>
      </c>
      <c r="C191" s="9">
        <v>0</v>
      </c>
      <c r="D191" s="24">
        <v>26889</v>
      </c>
      <c r="E191" s="12">
        <v>72.930999999999997</v>
      </c>
      <c r="F191" s="12">
        <v>63.841000000000001</v>
      </c>
      <c r="G191" s="12">
        <v>93.257999999999996</v>
      </c>
      <c r="H191" s="34">
        <v>308.10000000000002</v>
      </c>
      <c r="I191" s="34">
        <v>6908.2</v>
      </c>
      <c r="J191" s="35">
        <v>73.876000000000005</v>
      </c>
      <c r="K191" s="35">
        <v>68.456000000000003</v>
      </c>
      <c r="L191" s="35">
        <v>82.126999999999995</v>
      </c>
      <c r="M191" s="5">
        <v>5.0100858645902688</v>
      </c>
      <c r="N191" s="5">
        <v>3.3577083593414816</v>
      </c>
      <c r="O191" s="5">
        <v>-2.7038658722334237</v>
      </c>
      <c r="P191" s="6">
        <v>1</v>
      </c>
      <c r="Q191" s="6">
        <v>1</v>
      </c>
      <c r="R191" s="33">
        <v>0</v>
      </c>
      <c r="S191" s="5">
        <v>9.2700000000000005E-2</v>
      </c>
      <c r="T191" s="39">
        <v>17.2</v>
      </c>
      <c r="U191">
        <v>0</v>
      </c>
      <c r="V191" s="9">
        <v>5.9335000000000138E-2</v>
      </c>
      <c r="W191" s="38">
        <v>7.7938884E-2</v>
      </c>
      <c r="X191" s="38">
        <v>84.1</v>
      </c>
      <c r="Y191" s="38">
        <v>99.9</v>
      </c>
      <c r="Z191" s="38">
        <v>73.900000000000006</v>
      </c>
      <c r="AA191" s="9">
        <v>0.8</v>
      </c>
      <c r="AB191" s="38">
        <v>0</v>
      </c>
      <c r="AC191" s="38">
        <v>1.1525935499786533E-2</v>
      </c>
      <c r="AD191" s="38">
        <v>1</v>
      </c>
      <c r="AE191" s="9">
        <v>3.6881327262114016</v>
      </c>
      <c r="AF191" s="38">
        <v>1</v>
      </c>
      <c r="AG191" s="9">
        <v>-0.17603567656377095</v>
      </c>
      <c r="AH191" s="41">
        <v>0</v>
      </c>
      <c r="AI191" s="42">
        <v>0.77282354923319729</v>
      </c>
      <c r="AJ191" s="42">
        <v>1.0423223331163589</v>
      </c>
      <c r="AK191" s="9"/>
      <c r="AM191" s="9"/>
      <c r="AN191" s="9"/>
      <c r="AO191" s="9"/>
      <c r="AP191" s="9"/>
      <c r="AQ191" s="9"/>
      <c r="AR191" s="9"/>
      <c r="AS191" s="9"/>
      <c r="AU191" s="9"/>
      <c r="AV191" s="9"/>
      <c r="AW191" s="15"/>
      <c r="AX191" s="9"/>
      <c r="BC191" s="9"/>
      <c r="BD191" s="9"/>
      <c r="BE191" s="9"/>
      <c r="BF191" s="9"/>
      <c r="BG191" s="9"/>
      <c r="BL191" s="9"/>
      <c r="BM191" s="9"/>
      <c r="BN191" s="9"/>
      <c r="BO191" s="20"/>
      <c r="BP191" s="20"/>
      <c r="BQ191" s="9"/>
      <c r="BR191" s="19"/>
      <c r="BS191" s="21"/>
      <c r="BT191" s="9"/>
      <c r="BW191" s="2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</row>
    <row r="192" spans="1:87" ht="15">
      <c r="A192" s="13">
        <v>34335</v>
      </c>
      <c r="B192" s="12">
        <v>9737.6380000000008</v>
      </c>
      <c r="C192" s="9">
        <v>0</v>
      </c>
      <c r="D192" s="24">
        <v>27212</v>
      </c>
      <c r="E192" s="12">
        <v>73.284999999999997</v>
      </c>
      <c r="F192" s="12">
        <v>64.459999999999994</v>
      </c>
      <c r="G192" s="12">
        <v>93.638999999999996</v>
      </c>
      <c r="H192" s="34">
        <v>332</v>
      </c>
      <c r="I192" s="34">
        <v>6979.1</v>
      </c>
      <c r="J192" s="35">
        <v>74.138000000000005</v>
      </c>
      <c r="K192" s="35">
        <v>68.838999999999999</v>
      </c>
      <c r="L192" s="35">
        <v>81.558999999999997</v>
      </c>
      <c r="M192" s="5">
        <v>-1.6524544887961226</v>
      </c>
      <c r="N192" s="5">
        <v>-3.40615869776699</v>
      </c>
      <c r="O192" s="5">
        <v>-2.5487422655476593</v>
      </c>
      <c r="P192" s="6">
        <v>1</v>
      </c>
      <c r="Q192" s="6">
        <v>1</v>
      </c>
      <c r="R192" s="33">
        <v>0</v>
      </c>
      <c r="S192" s="5">
        <v>-0.29559999999999997</v>
      </c>
      <c r="T192" s="39">
        <v>29.3</v>
      </c>
      <c r="U192">
        <v>0</v>
      </c>
      <c r="V192" s="9">
        <v>4.900199999999999E-2</v>
      </c>
      <c r="W192" s="38">
        <v>0.19389379300000001</v>
      </c>
      <c r="X192" s="38">
        <v>93</v>
      </c>
      <c r="Y192" s="38">
        <v>105.4</v>
      </c>
      <c r="Z192" s="38">
        <v>85</v>
      </c>
      <c r="AA192" s="9">
        <v>1.4</v>
      </c>
      <c r="AB192" s="38">
        <v>0</v>
      </c>
      <c r="AC192" s="38">
        <v>1.7507115664531003E-2</v>
      </c>
      <c r="AD192" s="38">
        <v>1</v>
      </c>
      <c r="AE192" s="9">
        <v>6.1553530128976019</v>
      </c>
      <c r="AF192" s="38">
        <v>1</v>
      </c>
      <c r="AG192" s="9">
        <v>1.3519868328238687</v>
      </c>
      <c r="AH192" s="41">
        <v>0</v>
      </c>
      <c r="AI192" s="42">
        <v>0.25436836780303301</v>
      </c>
      <c r="AJ192" s="42">
        <v>0.5769337691927553</v>
      </c>
      <c r="AK192" s="9"/>
      <c r="AM192" s="9"/>
      <c r="AN192" s="9"/>
      <c r="AO192" s="9"/>
      <c r="AP192" s="9"/>
      <c r="AQ192" s="9"/>
      <c r="AR192" s="9"/>
      <c r="AS192" s="9"/>
      <c r="AU192" s="9"/>
      <c r="AV192" s="9"/>
      <c r="AW192" s="15"/>
      <c r="AX192" s="9"/>
      <c r="BC192" s="9"/>
      <c r="BD192" s="9"/>
      <c r="BE192" s="9"/>
      <c r="BF192" s="9"/>
      <c r="BG192" s="9"/>
      <c r="BL192" s="9"/>
      <c r="BM192" s="9"/>
      <c r="BN192" s="9"/>
      <c r="BO192" s="20"/>
      <c r="BP192" s="20"/>
      <c r="BQ192" s="9"/>
      <c r="BR192" s="9"/>
      <c r="BS192" s="21"/>
      <c r="BT192" s="9"/>
      <c r="BW192" s="2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</row>
    <row r="193" spans="1:87" ht="15">
      <c r="A193" s="13">
        <v>34425</v>
      </c>
      <c r="B193" s="12">
        <v>9870.7109999999993</v>
      </c>
      <c r="C193" s="9">
        <v>0</v>
      </c>
      <c r="D193" s="24">
        <v>27640</v>
      </c>
      <c r="E193" s="12">
        <v>73.650000000000006</v>
      </c>
      <c r="F193" s="12">
        <v>65.543999999999997</v>
      </c>
      <c r="G193" s="12">
        <v>95.215999999999994</v>
      </c>
      <c r="H193" s="34">
        <v>343.6</v>
      </c>
      <c r="I193" s="34">
        <v>7124.4</v>
      </c>
      <c r="J193" s="35">
        <v>74.551000000000002</v>
      </c>
      <c r="K193" s="35">
        <v>68.837000000000003</v>
      </c>
      <c r="L193" s="35">
        <v>81.777000000000001</v>
      </c>
      <c r="M193" s="5">
        <v>1.0475268557122772</v>
      </c>
      <c r="N193" s="5">
        <v>2.6067308065126582E-2</v>
      </c>
      <c r="O193" s="5">
        <v>-2.2633502602654421</v>
      </c>
      <c r="P193" s="6">
        <v>1</v>
      </c>
      <c r="Q193" s="6">
        <v>1</v>
      </c>
      <c r="R193" s="33">
        <v>0</v>
      </c>
      <c r="S193" s="5">
        <v>0.1222</v>
      </c>
      <c r="T193" s="39">
        <v>29.1</v>
      </c>
      <c r="U193">
        <v>0</v>
      </c>
      <c r="V193" s="9">
        <v>3.0756000000000006E-2</v>
      </c>
      <c r="W193" s="38">
        <v>0</v>
      </c>
      <c r="X193" s="38">
        <v>92.2</v>
      </c>
      <c r="Y193" s="38">
        <v>106.3</v>
      </c>
      <c r="Z193" s="38">
        <v>83.1</v>
      </c>
      <c r="AA193" s="9">
        <v>1.3</v>
      </c>
      <c r="AB193" s="38">
        <v>0</v>
      </c>
      <c r="AC193" s="38">
        <v>4.5471793627290813E-2</v>
      </c>
      <c r="AD193" s="38">
        <v>1</v>
      </c>
      <c r="AE193" s="9">
        <v>6.1265327233301692</v>
      </c>
      <c r="AF193" s="38">
        <v>1</v>
      </c>
      <c r="AG193" s="9">
        <v>0.35958705486602582</v>
      </c>
      <c r="AH193" s="41">
        <v>0</v>
      </c>
      <c r="AI193" s="42">
        <v>0.41267959737118332</v>
      </c>
      <c r="AJ193" s="42">
        <v>0.60440995479654946</v>
      </c>
      <c r="AK193" s="9"/>
      <c r="AM193" s="9"/>
      <c r="AN193" s="9"/>
      <c r="AO193" s="9"/>
      <c r="AP193" s="9"/>
      <c r="AQ193" s="9"/>
      <c r="AR193" s="9"/>
      <c r="AS193" s="9"/>
      <c r="AU193" s="9"/>
      <c r="AV193" s="9"/>
      <c r="AW193" s="15"/>
      <c r="AX193" s="9"/>
      <c r="BC193" s="9"/>
      <c r="BD193" s="9"/>
      <c r="BE193" s="9"/>
      <c r="BF193" s="9"/>
      <c r="BG193" s="9"/>
      <c r="BL193" s="9"/>
      <c r="BM193" s="9"/>
      <c r="BN193" s="9"/>
      <c r="BO193" s="20"/>
      <c r="BP193" s="20"/>
      <c r="BQ193" s="9"/>
      <c r="BR193" s="9"/>
      <c r="BS193" s="21"/>
      <c r="BT193" s="9"/>
      <c r="BW193" s="2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</row>
    <row r="194" spans="1:87" ht="15">
      <c r="A194" s="13">
        <v>34516</v>
      </c>
      <c r="B194" s="12">
        <v>9928.8680000000004</v>
      </c>
      <c r="C194" s="9">
        <v>0</v>
      </c>
      <c r="D194" s="24">
        <v>27863</v>
      </c>
      <c r="E194" s="12">
        <v>74.049000000000007</v>
      </c>
      <c r="F194" s="12">
        <v>65.941000000000003</v>
      </c>
      <c r="G194" s="12">
        <v>96.376000000000005</v>
      </c>
      <c r="H194" s="34">
        <v>358.1</v>
      </c>
      <c r="I194" s="34">
        <v>7230.4</v>
      </c>
      <c r="J194" s="35">
        <v>75.081999999999994</v>
      </c>
      <c r="K194" s="35">
        <v>68.42</v>
      </c>
      <c r="L194" s="35">
        <v>81.064999999999998</v>
      </c>
      <c r="M194" s="5">
        <v>-1.7706173737993809</v>
      </c>
      <c r="N194" s="5">
        <v>-1.5244259533558957</v>
      </c>
      <c r="O194" s="5">
        <v>-2.5312817593164487</v>
      </c>
      <c r="P194" s="6">
        <v>1</v>
      </c>
      <c r="Q194" s="6">
        <v>1</v>
      </c>
      <c r="R194" s="33">
        <v>0</v>
      </c>
      <c r="S194" s="5">
        <v>0.2671</v>
      </c>
      <c r="T194" s="39">
        <v>21.4</v>
      </c>
      <c r="U194">
        <v>0</v>
      </c>
      <c r="V194" s="9">
        <v>-3.1555E-2</v>
      </c>
      <c r="W194" s="38">
        <v>0</v>
      </c>
      <c r="X194" s="38">
        <v>90.7</v>
      </c>
      <c r="Y194" s="38">
        <v>106</v>
      </c>
      <c r="Z194" s="38">
        <v>80.900000000000006</v>
      </c>
      <c r="AA194" s="9">
        <v>1.3</v>
      </c>
      <c r="AB194" s="38">
        <v>0</v>
      </c>
      <c r="AC194" s="38">
        <v>2.4662716465261525E-2</v>
      </c>
      <c r="AD194" s="38">
        <v>1</v>
      </c>
      <c r="AE194" s="9">
        <v>5.7526846061233261</v>
      </c>
      <c r="AF194" s="38">
        <v>1</v>
      </c>
      <c r="AG194" s="9">
        <v>0.75127138233935398</v>
      </c>
      <c r="AH194" s="41">
        <v>0</v>
      </c>
      <c r="AI194" s="42">
        <v>0.75584212890723701</v>
      </c>
      <c r="AJ194" s="42">
        <v>0.6095180944960823</v>
      </c>
      <c r="AK194" s="9"/>
      <c r="AM194" s="9"/>
      <c r="AN194" s="9"/>
      <c r="AO194" s="9"/>
      <c r="AP194" s="9"/>
      <c r="AQ194" s="9"/>
      <c r="AR194" s="9"/>
      <c r="AS194" s="9"/>
      <c r="AU194" s="9"/>
      <c r="AV194" s="9"/>
      <c r="AW194" s="15"/>
      <c r="AX194" s="9"/>
      <c r="BC194" s="9"/>
      <c r="BD194" s="9"/>
      <c r="BE194" s="9"/>
      <c r="BF194" s="9"/>
      <c r="BG194" s="9"/>
      <c r="BL194" s="9"/>
      <c r="BM194" s="9"/>
      <c r="BN194" s="9"/>
      <c r="BO194" s="20"/>
      <c r="BP194" s="20"/>
      <c r="BQ194" s="9"/>
      <c r="BR194" s="9"/>
      <c r="BS194" s="21"/>
      <c r="BT194" s="9"/>
      <c r="BW194" s="2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</row>
    <row r="195" spans="1:87" ht="15">
      <c r="A195" s="13">
        <v>34608</v>
      </c>
      <c r="B195" s="12">
        <v>10041.591</v>
      </c>
      <c r="C195" s="9">
        <v>0</v>
      </c>
      <c r="D195" s="24">
        <v>28248</v>
      </c>
      <c r="E195" s="12">
        <v>74.456999999999994</v>
      </c>
      <c r="F195" s="12">
        <v>66.986999999999995</v>
      </c>
      <c r="G195" s="12">
        <v>96.930999999999997</v>
      </c>
      <c r="H195" s="34">
        <v>369.6</v>
      </c>
      <c r="I195" s="34">
        <v>7353.9</v>
      </c>
      <c r="J195" s="35">
        <v>75.436000000000007</v>
      </c>
      <c r="K195" s="35">
        <v>69.108000000000004</v>
      </c>
      <c r="L195" s="35">
        <v>81.171999999999997</v>
      </c>
      <c r="M195" s="5">
        <v>3.8799843852995357</v>
      </c>
      <c r="N195" s="5">
        <v>5.4881051855890473</v>
      </c>
      <c r="O195" s="5">
        <v>-2.675431726422504</v>
      </c>
      <c r="P195" s="6">
        <v>1</v>
      </c>
      <c r="Q195" s="6">
        <v>1</v>
      </c>
      <c r="R195" s="33">
        <v>0</v>
      </c>
      <c r="S195" s="5">
        <v>0.02</v>
      </c>
      <c r="T195" s="39">
        <v>25</v>
      </c>
      <c r="U195">
        <v>0</v>
      </c>
      <c r="V195" s="9">
        <v>4.7706999999999944E-2</v>
      </c>
      <c r="W195" s="38">
        <v>0</v>
      </c>
      <c r="X195" s="38">
        <v>93.1</v>
      </c>
      <c r="Y195" s="38">
        <v>103.9</v>
      </c>
      <c r="Z195" s="38">
        <v>86.3</v>
      </c>
      <c r="AA195" s="9">
        <v>0.7</v>
      </c>
      <c r="AB195" s="38">
        <v>0</v>
      </c>
      <c r="AC195" s="38">
        <v>3.244867305524024E-2</v>
      </c>
      <c r="AD195" s="38">
        <v>1</v>
      </c>
      <c r="AE195" s="9">
        <v>3.6384064160512208</v>
      </c>
      <c r="AF195" s="38">
        <v>1</v>
      </c>
      <c r="AG195" s="9">
        <v>1.1586555007456809</v>
      </c>
      <c r="AH195" s="41">
        <v>0</v>
      </c>
      <c r="AI195" s="42">
        <v>0.51646850180263648</v>
      </c>
      <c r="AJ195" s="42">
        <v>0.44695158089594861</v>
      </c>
      <c r="AK195" s="9"/>
      <c r="AM195" s="9"/>
      <c r="AN195" s="9"/>
      <c r="AO195" s="9"/>
      <c r="AP195" s="9"/>
      <c r="AQ195" s="9"/>
      <c r="AR195" s="9"/>
      <c r="AS195" s="9"/>
      <c r="AU195" s="9"/>
      <c r="AV195" s="9"/>
      <c r="AW195" s="15"/>
      <c r="AX195" s="9"/>
      <c r="BC195" s="9"/>
      <c r="BD195" s="9"/>
      <c r="BE195" s="9"/>
      <c r="BF195" s="9"/>
      <c r="BG195" s="9"/>
      <c r="BL195" s="9"/>
      <c r="BM195" s="9"/>
      <c r="BN195" s="9"/>
      <c r="BO195" s="20"/>
      <c r="BP195" s="20"/>
      <c r="BQ195" s="9"/>
      <c r="BR195" s="9"/>
      <c r="BS195" s="21"/>
      <c r="BT195" s="9"/>
      <c r="BW195" s="2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</row>
    <row r="196" spans="1:87" ht="15">
      <c r="A196" s="13">
        <v>34700</v>
      </c>
      <c r="B196" s="12">
        <v>10075.906999999999</v>
      </c>
      <c r="C196" s="9">
        <v>0</v>
      </c>
      <c r="D196" s="24">
        <v>28431</v>
      </c>
      <c r="E196" s="12">
        <v>74.884</v>
      </c>
      <c r="F196" s="12">
        <v>67.298000000000002</v>
      </c>
      <c r="G196" s="12">
        <v>97.606999999999999</v>
      </c>
      <c r="H196" s="34">
        <v>358.4</v>
      </c>
      <c r="I196" s="34">
        <v>7430.9</v>
      </c>
      <c r="J196" s="35">
        <v>75.796999999999997</v>
      </c>
      <c r="K196" s="35">
        <v>68.947999999999993</v>
      </c>
      <c r="L196" s="35">
        <v>80.968000000000004</v>
      </c>
      <c r="M196" s="5">
        <v>-2.2825724613320069</v>
      </c>
      <c r="N196" s="5">
        <v>0.28908368378767157</v>
      </c>
      <c r="O196" s="5">
        <v>-2.5202422687169657</v>
      </c>
      <c r="P196" s="6">
        <v>1</v>
      </c>
      <c r="Q196" s="6">
        <v>1</v>
      </c>
      <c r="R196" s="33">
        <v>0</v>
      </c>
      <c r="S196" s="5">
        <v>-0.15229999999999999</v>
      </c>
      <c r="T196" s="39">
        <v>16.100000000000001</v>
      </c>
      <c r="U196">
        <v>0</v>
      </c>
      <c r="V196" s="9">
        <v>4.474200000000006E-2</v>
      </c>
      <c r="W196" s="38">
        <v>0</v>
      </c>
      <c r="X196" s="38">
        <v>94.3</v>
      </c>
      <c r="Y196" s="38">
        <v>109.2</v>
      </c>
      <c r="Z196" s="38">
        <v>84.7</v>
      </c>
      <c r="AA196" s="9">
        <v>0.5</v>
      </c>
      <c r="AB196" s="38">
        <v>0</v>
      </c>
      <c r="AC196" s="38">
        <v>2.0478303088542926E-2</v>
      </c>
      <c r="AD196" s="38">
        <v>1</v>
      </c>
      <c r="AE196" s="9">
        <v>3.7516142488424276</v>
      </c>
      <c r="AF196" s="38">
        <v>1</v>
      </c>
      <c r="AG196" s="9">
        <v>-0.37423452029939597</v>
      </c>
      <c r="AH196" s="41">
        <v>0</v>
      </c>
      <c r="AI196" s="42">
        <v>0.5902898395848134</v>
      </c>
      <c r="AJ196" s="42">
        <v>0.32897452806606697</v>
      </c>
      <c r="AK196" s="9"/>
      <c r="AM196" s="9"/>
      <c r="AN196" s="9"/>
      <c r="AO196" s="9"/>
      <c r="AP196" s="9"/>
      <c r="AQ196" s="9"/>
      <c r="AR196" s="9"/>
      <c r="AS196" s="9"/>
      <c r="AU196" s="9"/>
      <c r="AV196" s="9"/>
      <c r="AW196" s="15"/>
      <c r="AX196" s="9"/>
      <c r="BC196" s="9"/>
      <c r="BD196" s="9"/>
      <c r="BE196" s="9"/>
      <c r="BF196" s="9"/>
      <c r="BG196" s="9"/>
      <c r="BL196" s="9"/>
      <c r="BM196" s="9"/>
      <c r="BN196" s="9"/>
      <c r="BO196" s="20"/>
      <c r="BP196" s="20"/>
      <c r="BQ196" s="9"/>
      <c r="BR196" s="9"/>
      <c r="BS196" s="21"/>
      <c r="BT196" s="9"/>
      <c r="BW196" s="2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</row>
    <row r="197" spans="1:87" ht="15">
      <c r="A197" s="13">
        <v>34790</v>
      </c>
      <c r="B197" s="12">
        <v>10111.126</v>
      </c>
      <c r="C197" s="9">
        <v>0</v>
      </c>
      <c r="D197" s="24">
        <v>28575</v>
      </c>
      <c r="E197" s="12">
        <v>75.212999999999994</v>
      </c>
      <c r="F197" s="12">
        <v>67.542000000000002</v>
      </c>
      <c r="G197" s="12">
        <v>97.603999999999999</v>
      </c>
      <c r="H197" s="34">
        <v>377.7</v>
      </c>
      <c r="I197" s="34">
        <v>7506.8</v>
      </c>
      <c r="J197" s="35">
        <v>76.224000000000004</v>
      </c>
      <c r="K197" s="35">
        <v>69.2</v>
      </c>
      <c r="L197" s="35">
        <v>80.873000000000005</v>
      </c>
      <c r="M197" s="5">
        <v>-0.54980835717000398</v>
      </c>
      <c r="N197" s="5">
        <v>2.308999587511062</v>
      </c>
      <c r="O197" s="5">
        <v>-2.0552154466164518</v>
      </c>
      <c r="P197" s="17">
        <v>0</v>
      </c>
      <c r="Q197" s="6">
        <v>0</v>
      </c>
      <c r="R197" s="33">
        <v>0</v>
      </c>
      <c r="S197" s="37">
        <v>-0.18240000000000001</v>
      </c>
      <c r="T197" s="39">
        <v>18.5</v>
      </c>
      <c r="U197">
        <v>0</v>
      </c>
      <c r="V197" s="9">
        <v>6.1786999999999814E-2</v>
      </c>
      <c r="W197" s="38">
        <v>0</v>
      </c>
      <c r="X197" s="38">
        <v>91.7</v>
      </c>
      <c r="Y197" s="38">
        <v>105.7</v>
      </c>
      <c r="Z197" s="38">
        <v>82.7</v>
      </c>
      <c r="AA197" s="9">
        <v>0.5</v>
      </c>
      <c r="AB197" s="38">
        <v>0</v>
      </c>
      <c r="AC197" s="38">
        <v>2.1291909543761811E-2</v>
      </c>
      <c r="AD197" s="38">
        <v>1</v>
      </c>
      <c r="AE197" s="9">
        <v>-9.8019122566128658E-3</v>
      </c>
      <c r="AF197" s="38">
        <v>1</v>
      </c>
      <c r="AG197" s="9">
        <v>0.96755833807627312</v>
      </c>
      <c r="AH197" s="41">
        <v>0</v>
      </c>
      <c r="AI197" s="42">
        <v>1.130613026976296</v>
      </c>
      <c r="AJ197" s="42">
        <v>0.67042501807559174</v>
      </c>
      <c r="AK197" s="9"/>
      <c r="AM197" s="9"/>
      <c r="AN197" s="9"/>
      <c r="AO197" s="9"/>
      <c r="AP197" s="9"/>
      <c r="AQ197" s="9"/>
      <c r="AR197" s="9"/>
      <c r="AS197" s="9"/>
      <c r="AU197" s="9"/>
      <c r="AV197" s="9"/>
      <c r="AW197" s="15"/>
      <c r="AX197" s="9"/>
      <c r="BC197" s="9"/>
      <c r="BD197" s="9"/>
      <c r="BE197" s="9"/>
      <c r="BF197" s="9"/>
      <c r="BG197" s="9"/>
      <c r="BL197" s="9"/>
      <c r="BM197" s="9"/>
      <c r="BN197" s="9"/>
      <c r="BO197" s="20"/>
      <c r="BP197" s="20"/>
      <c r="BQ197" s="9"/>
      <c r="BR197" s="9"/>
      <c r="BS197" s="21"/>
      <c r="BT197" s="9"/>
      <c r="BW197" s="2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</row>
    <row r="198" spans="1:87" ht="15">
      <c r="A198" s="13">
        <v>34881</v>
      </c>
      <c r="B198" s="12">
        <v>10197.669</v>
      </c>
      <c r="C198" s="9">
        <v>0</v>
      </c>
      <c r="D198" s="24">
        <v>28863</v>
      </c>
      <c r="E198" s="12">
        <v>75.570999999999998</v>
      </c>
      <c r="F198" s="12">
        <v>68.313000000000002</v>
      </c>
      <c r="G198" s="12">
        <v>98.698999999999998</v>
      </c>
      <c r="H198" s="34">
        <v>414.5</v>
      </c>
      <c r="I198" s="34">
        <v>7634.9</v>
      </c>
      <c r="J198" s="35">
        <v>76.53</v>
      </c>
      <c r="K198" s="35">
        <v>69.212999999999994</v>
      </c>
      <c r="L198" s="35">
        <v>80.959000000000003</v>
      </c>
      <c r="M198" s="5">
        <v>1.4715455720722446</v>
      </c>
      <c r="N198" s="5">
        <v>3.8325860820429765</v>
      </c>
      <c r="O198" s="5">
        <v>-2.1292554337454153</v>
      </c>
      <c r="P198" s="17">
        <v>0</v>
      </c>
      <c r="Q198" s="6">
        <v>0</v>
      </c>
      <c r="R198" s="33">
        <v>0</v>
      </c>
      <c r="S198" s="37">
        <v>-0.12529999999999999</v>
      </c>
      <c r="T198" s="39">
        <v>7</v>
      </c>
      <c r="U198">
        <v>0</v>
      </c>
      <c r="V198" s="9">
        <v>1.8513000000000002E-2</v>
      </c>
      <c r="W198" s="38">
        <v>0</v>
      </c>
      <c r="X198" s="38">
        <v>93.1</v>
      </c>
      <c r="Y198" s="38">
        <v>107.2</v>
      </c>
      <c r="Z198" s="38">
        <v>84.1</v>
      </c>
      <c r="AA198" s="9">
        <v>1.2</v>
      </c>
      <c r="AB198" s="38">
        <v>0</v>
      </c>
      <c r="AC198" s="38">
        <v>5.1045051685376652E-3</v>
      </c>
      <c r="AD198" s="38">
        <v>0</v>
      </c>
      <c r="AE198" s="9">
        <v>7.8888998336990035E-2</v>
      </c>
      <c r="AF198" s="38">
        <v>1</v>
      </c>
      <c r="AG198" s="9">
        <v>0.21420518602029404</v>
      </c>
      <c r="AH198" s="41">
        <v>0</v>
      </c>
      <c r="AI198" s="42">
        <v>0.76144058217608956</v>
      </c>
      <c r="AJ198" s="42">
        <v>0.65649275899897874</v>
      </c>
      <c r="AK198" s="9"/>
      <c r="AM198" s="9"/>
      <c r="AN198" s="9"/>
      <c r="AO198" s="9"/>
      <c r="AP198" s="9"/>
      <c r="AQ198" s="9"/>
      <c r="AR198" s="9"/>
      <c r="AS198" s="9"/>
      <c r="AU198" s="9"/>
      <c r="AV198" s="9"/>
      <c r="AW198" s="15"/>
      <c r="AX198" s="9"/>
      <c r="BC198" s="9"/>
      <c r="BD198" s="9"/>
      <c r="BE198" s="9"/>
      <c r="BF198" s="9"/>
      <c r="BG198" s="9"/>
      <c r="BL198" s="9"/>
      <c r="BM198" s="9"/>
      <c r="BN198" s="9"/>
      <c r="BO198" s="20"/>
      <c r="BP198" s="20"/>
      <c r="BQ198" s="9"/>
      <c r="BR198" s="9"/>
      <c r="BS198" s="21"/>
      <c r="BT198" s="9"/>
      <c r="BW198" s="2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</row>
    <row r="199" spans="1:87" ht="15">
      <c r="A199" s="13">
        <v>34973</v>
      </c>
      <c r="B199" s="12">
        <v>10270.057000000001</v>
      </c>
      <c r="C199" s="9">
        <v>0</v>
      </c>
      <c r="D199" s="24">
        <v>29122</v>
      </c>
      <c r="E199" s="12">
        <v>75.944000000000003</v>
      </c>
      <c r="F199" s="12">
        <v>68.912999999999997</v>
      </c>
      <c r="G199" s="12">
        <v>98.775999999999996</v>
      </c>
      <c r="H199" s="34">
        <v>418.4</v>
      </c>
      <c r="I199" s="34">
        <v>7721.4</v>
      </c>
      <c r="J199" s="35">
        <v>76.867000000000004</v>
      </c>
      <c r="K199" s="35">
        <v>69.766999999999996</v>
      </c>
      <c r="L199" s="35">
        <v>81.424000000000007</v>
      </c>
      <c r="M199" s="5">
        <v>1.0966311406182614</v>
      </c>
      <c r="N199" s="5">
        <v>2.427392539618503</v>
      </c>
      <c r="O199" s="5">
        <v>-1.7608984035580051</v>
      </c>
      <c r="P199" s="17">
        <v>0</v>
      </c>
      <c r="Q199" s="6">
        <v>0</v>
      </c>
      <c r="R199" s="33">
        <v>0</v>
      </c>
      <c r="S199" s="37">
        <v>-0.16059999999999999</v>
      </c>
      <c r="T199" s="39">
        <v>5.5</v>
      </c>
      <c r="U199">
        <v>0</v>
      </c>
      <c r="V199" s="9">
        <v>6.7946000000000062E-2</v>
      </c>
      <c r="W199" s="38">
        <v>0</v>
      </c>
      <c r="X199" s="38">
        <v>89.8</v>
      </c>
      <c r="Y199" s="38">
        <v>102.9</v>
      </c>
      <c r="Z199" s="38">
        <v>81.400000000000006</v>
      </c>
      <c r="AA199" s="9">
        <v>0.5</v>
      </c>
      <c r="AB199" s="38">
        <v>0</v>
      </c>
      <c r="AC199" s="38">
        <v>5.282907266392689E-3</v>
      </c>
      <c r="AD199" s="38">
        <v>0</v>
      </c>
      <c r="AE199" s="9">
        <v>1.7776146919364466</v>
      </c>
      <c r="AF199" s="38">
        <v>1</v>
      </c>
      <c r="AG199" s="9">
        <v>-8.9998875014060786E-2</v>
      </c>
      <c r="AH199" s="41">
        <v>0</v>
      </c>
      <c r="AI199" s="42">
        <v>0.88965700170336037</v>
      </c>
      <c r="AJ199" s="42">
        <v>0.32204652150559671</v>
      </c>
      <c r="AK199" s="9"/>
      <c r="AM199" s="9"/>
      <c r="AN199" s="9"/>
      <c r="AO199" s="9"/>
      <c r="AP199" s="9"/>
      <c r="AQ199" s="9"/>
      <c r="AR199" s="9"/>
      <c r="AS199" s="9"/>
      <c r="AU199" s="9"/>
      <c r="AV199" s="9"/>
      <c r="AW199" s="15"/>
      <c r="AX199" s="9"/>
      <c r="BC199" s="9"/>
      <c r="BD199" s="9"/>
      <c r="BE199" s="9"/>
      <c r="BF199" s="9"/>
      <c r="BG199" s="9"/>
      <c r="BL199" s="9"/>
      <c r="BM199" s="9"/>
      <c r="BN199" s="9"/>
      <c r="BO199" s="20"/>
      <c r="BP199" s="20"/>
      <c r="BQ199" s="9"/>
      <c r="BR199" s="9"/>
      <c r="BS199" s="21"/>
      <c r="BT199" s="9"/>
      <c r="BW199" s="2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</row>
    <row r="200" spans="1:87" ht="15">
      <c r="A200" s="13">
        <v>35065</v>
      </c>
      <c r="B200" s="12">
        <v>10337.434999999999</v>
      </c>
      <c r="C200" s="9">
        <v>0</v>
      </c>
      <c r="D200" s="24">
        <v>29398</v>
      </c>
      <c r="E200" s="12">
        <v>76.355000000000004</v>
      </c>
      <c r="F200" s="12">
        <v>69.391999999999996</v>
      </c>
      <c r="G200" s="12">
        <v>98.614000000000004</v>
      </c>
      <c r="H200" s="34">
        <v>446.7</v>
      </c>
      <c r="I200" s="34">
        <v>7847.7</v>
      </c>
      <c r="J200" s="35">
        <v>77.298000000000002</v>
      </c>
      <c r="K200" s="35">
        <v>70.367000000000004</v>
      </c>
      <c r="L200" s="35">
        <v>82.001000000000005</v>
      </c>
      <c r="M200" s="5">
        <v>3.0571225653587946</v>
      </c>
      <c r="N200" s="5">
        <v>3.1735622189504391</v>
      </c>
      <c r="O200" s="5">
        <v>-1.7797177949141207</v>
      </c>
      <c r="P200" s="17">
        <v>0</v>
      </c>
      <c r="Q200" s="6">
        <v>0</v>
      </c>
      <c r="R200" s="33">
        <v>0</v>
      </c>
      <c r="S200" s="37">
        <v>3.9100000000000003E-2</v>
      </c>
      <c r="T200" s="39">
        <v>5.4</v>
      </c>
      <c r="U200">
        <v>0</v>
      </c>
      <c r="V200" s="9">
        <v>-8.7820000000000675E-3</v>
      </c>
      <c r="W200" s="38">
        <v>0</v>
      </c>
      <c r="X200" s="38">
        <v>90.5</v>
      </c>
      <c r="Y200" s="38">
        <v>105.5</v>
      </c>
      <c r="Z200" s="38">
        <v>80.900000000000006</v>
      </c>
      <c r="AA200" s="9">
        <v>1.1000000000000001</v>
      </c>
      <c r="AB200" s="38">
        <v>0</v>
      </c>
      <c r="AC200" s="38">
        <v>1.9699933880904075E-2</v>
      </c>
      <c r="AD200" s="38">
        <v>0</v>
      </c>
      <c r="AE200" s="9">
        <v>0.51681574598667623</v>
      </c>
      <c r="AF200" s="38">
        <v>1</v>
      </c>
      <c r="AG200" s="9">
        <v>-0.96835941898434896</v>
      </c>
      <c r="AH200" s="41">
        <v>0</v>
      </c>
      <c r="AI200" s="42">
        <v>0.77546841797010335</v>
      </c>
      <c r="AJ200" s="42">
        <v>0.80967720714779101</v>
      </c>
      <c r="AK200" s="9"/>
      <c r="AM200" s="9"/>
      <c r="AN200" s="9"/>
      <c r="AO200" s="9"/>
      <c r="AP200" s="9"/>
      <c r="AQ200" s="9"/>
      <c r="AR200" s="9"/>
      <c r="AS200" s="9"/>
      <c r="AU200" s="9"/>
      <c r="AV200" s="9"/>
      <c r="AW200" s="15"/>
      <c r="AX200" s="9"/>
      <c r="BC200" s="9"/>
      <c r="BD200" s="9"/>
      <c r="BE200" s="9"/>
      <c r="BF200" s="9"/>
      <c r="BG200" s="9"/>
      <c r="BL200" s="9"/>
      <c r="BM200" s="9"/>
      <c r="BN200" s="9"/>
      <c r="BO200" s="20"/>
      <c r="BP200" s="20"/>
      <c r="BQ200" s="9"/>
      <c r="BR200" s="19"/>
      <c r="BS200" s="21"/>
      <c r="BT200" s="9"/>
      <c r="BW200" s="2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</row>
    <row r="201" spans="1:87" ht="15">
      <c r="A201" s="13">
        <v>35156</v>
      </c>
      <c r="B201" s="12">
        <v>10517.932000000001</v>
      </c>
      <c r="C201" s="9">
        <v>0</v>
      </c>
      <c r="D201" s="24">
        <v>29940</v>
      </c>
      <c r="E201" s="12">
        <v>76.644999999999996</v>
      </c>
      <c r="F201" s="12">
        <v>70.781999999999996</v>
      </c>
      <c r="G201" s="12">
        <v>99.403000000000006</v>
      </c>
      <c r="H201" s="34">
        <v>450.1</v>
      </c>
      <c r="I201" s="34">
        <v>7996</v>
      </c>
      <c r="J201" s="35">
        <v>77.808999999999997</v>
      </c>
      <c r="K201" s="35">
        <v>71.206999999999994</v>
      </c>
      <c r="L201" s="35">
        <v>82.179000000000002</v>
      </c>
      <c r="M201" s="5">
        <v>3.9150275402829742</v>
      </c>
      <c r="N201" s="5">
        <v>2.9726593846380172</v>
      </c>
      <c r="O201" s="5">
        <v>-1.4336671503413501</v>
      </c>
      <c r="P201" s="17">
        <v>0</v>
      </c>
      <c r="Q201" s="6">
        <v>0</v>
      </c>
      <c r="R201" s="33">
        <v>0</v>
      </c>
      <c r="S201" s="37">
        <v>-0.12709999999999999</v>
      </c>
      <c r="T201" s="39">
        <v>-4</v>
      </c>
      <c r="U201">
        <v>0</v>
      </c>
      <c r="V201" s="9">
        <v>1.377000000000006E-2</v>
      </c>
      <c r="W201" s="38">
        <v>0</v>
      </c>
      <c r="X201" s="38">
        <v>91.5</v>
      </c>
      <c r="Y201" s="38">
        <v>106.1</v>
      </c>
      <c r="Z201" s="38">
        <v>82.1</v>
      </c>
      <c r="AA201" s="9">
        <v>0.4</v>
      </c>
      <c r="AB201" s="38">
        <v>0</v>
      </c>
      <c r="AC201" s="38">
        <v>3.9414689243766343E-3</v>
      </c>
      <c r="AD201" s="38">
        <v>0</v>
      </c>
      <c r="AE201" s="9">
        <v>1.6064284704021103</v>
      </c>
      <c r="AF201" s="38">
        <v>1</v>
      </c>
      <c r="AG201" s="9">
        <v>1.5235929505400776</v>
      </c>
      <c r="AH201" s="41">
        <v>0</v>
      </c>
      <c r="AI201" s="42">
        <v>1.1854737284719821</v>
      </c>
      <c r="AJ201" s="42">
        <v>1.3296477643611591</v>
      </c>
      <c r="AK201" s="9"/>
      <c r="AM201" s="9"/>
      <c r="AN201" s="9"/>
      <c r="AO201" s="9"/>
      <c r="AP201" s="9"/>
      <c r="AQ201" s="9"/>
      <c r="AR201" s="9"/>
      <c r="AS201" s="9"/>
      <c r="AU201" s="9"/>
      <c r="AV201" s="9"/>
      <c r="AW201" s="15"/>
      <c r="AX201" s="9"/>
      <c r="BC201" s="9"/>
      <c r="BD201" s="9"/>
      <c r="BE201" s="9"/>
      <c r="BF201" s="9"/>
      <c r="BG201" s="9"/>
      <c r="BL201" s="9"/>
      <c r="BM201" s="9"/>
      <c r="BN201" s="9"/>
      <c r="BO201" s="20"/>
      <c r="BP201" s="20"/>
      <c r="BQ201" s="9"/>
      <c r="BR201" s="9"/>
      <c r="BS201" s="21"/>
      <c r="BT201" s="9"/>
      <c r="BW201" s="2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</row>
    <row r="202" spans="1:87" ht="15">
      <c r="A202" s="13">
        <v>35247</v>
      </c>
      <c r="B202" s="12">
        <v>10615.223</v>
      </c>
      <c r="C202" s="9">
        <v>0</v>
      </c>
      <c r="D202" s="24">
        <v>30204</v>
      </c>
      <c r="E202" s="12">
        <v>76.861000000000004</v>
      </c>
      <c r="F202" s="12">
        <v>71.647000000000006</v>
      </c>
      <c r="G202" s="12">
        <v>100.193</v>
      </c>
      <c r="H202" s="34">
        <v>454.1</v>
      </c>
      <c r="I202" s="34">
        <v>8094.1</v>
      </c>
      <c r="J202" s="35">
        <v>78.141000000000005</v>
      </c>
      <c r="K202" s="35">
        <v>71.509</v>
      </c>
      <c r="L202" s="35">
        <v>82.396000000000001</v>
      </c>
      <c r="M202" s="5">
        <v>1.5718984657595017</v>
      </c>
      <c r="N202" s="5">
        <v>-6.559266371773198E-2</v>
      </c>
      <c r="O202" s="5">
        <v>-1.3235858638047513</v>
      </c>
      <c r="P202" s="17">
        <v>0</v>
      </c>
      <c r="Q202" s="6">
        <v>0</v>
      </c>
      <c r="R202" s="33">
        <v>0</v>
      </c>
      <c r="S202" s="37">
        <v>-4.8899999999999999E-2</v>
      </c>
      <c r="T202" s="39">
        <v>-6.1</v>
      </c>
      <c r="U202">
        <v>0</v>
      </c>
      <c r="V202" s="9">
        <v>5.1209999999999978E-2</v>
      </c>
      <c r="W202" s="38">
        <v>0</v>
      </c>
      <c r="X202" s="38">
        <v>94.9</v>
      </c>
      <c r="Y202" s="38">
        <v>105.7</v>
      </c>
      <c r="Z202" s="38">
        <v>88</v>
      </c>
      <c r="AA202" s="9">
        <v>0.7</v>
      </c>
      <c r="AB202" s="38">
        <v>0</v>
      </c>
      <c r="AC202" s="38">
        <v>1.7694969603533117E-2</v>
      </c>
      <c r="AD202" s="38">
        <v>0</v>
      </c>
      <c r="AE202" s="9">
        <v>4.8003971780790966</v>
      </c>
      <c r="AF202" s="38">
        <v>1</v>
      </c>
      <c r="AG202" s="9">
        <v>0.59357150856757812</v>
      </c>
      <c r="AH202" s="41">
        <v>0</v>
      </c>
      <c r="AI202" s="42">
        <v>0.92281658755760965</v>
      </c>
      <c r="AJ202" s="42">
        <v>0.6882608430997047</v>
      </c>
      <c r="AK202" s="9"/>
      <c r="AM202" s="9"/>
      <c r="AN202" s="9"/>
      <c r="AO202" s="9"/>
      <c r="AP202" s="9"/>
      <c r="AQ202" s="9"/>
      <c r="AR202" s="9"/>
      <c r="AS202" s="9"/>
      <c r="AU202" s="9"/>
      <c r="AV202" s="9"/>
      <c r="AW202" s="15"/>
      <c r="AX202" s="9"/>
      <c r="BC202" s="9"/>
      <c r="BD202" s="9"/>
      <c r="BE202" s="9"/>
      <c r="BF202" s="9"/>
      <c r="BG202" s="9"/>
      <c r="BL202" s="9"/>
      <c r="BM202" s="9"/>
      <c r="BN202" s="9"/>
      <c r="BO202" s="20"/>
      <c r="BP202" s="20"/>
      <c r="BQ202" s="9"/>
      <c r="BR202" s="9"/>
      <c r="BS202" s="21"/>
      <c r="BT202" s="9"/>
      <c r="BW202" s="2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</row>
    <row r="203" spans="1:87" ht="15">
      <c r="A203" s="13">
        <v>35339</v>
      </c>
      <c r="B203" s="12">
        <v>10727.36</v>
      </c>
      <c r="C203" s="9">
        <v>0</v>
      </c>
      <c r="D203" s="24">
        <v>30581</v>
      </c>
      <c r="E203" s="12">
        <v>77.251000000000005</v>
      </c>
      <c r="F203" s="12">
        <v>72.554000000000002</v>
      </c>
      <c r="G203" s="12">
        <v>101.453</v>
      </c>
      <c r="H203" s="34">
        <v>459.5</v>
      </c>
      <c r="I203" s="34">
        <v>8236.7000000000007</v>
      </c>
      <c r="J203" s="35">
        <v>78.67</v>
      </c>
      <c r="K203" s="35">
        <v>71.515000000000001</v>
      </c>
      <c r="L203" s="35">
        <v>82.111999999999995</v>
      </c>
      <c r="M203" s="5">
        <v>1.0069467081214662</v>
      </c>
      <c r="N203" s="5">
        <v>-0.86899950576079132</v>
      </c>
      <c r="O203" s="5">
        <v>-1.0447625349367997</v>
      </c>
      <c r="P203" s="17">
        <v>0</v>
      </c>
      <c r="Q203" s="6">
        <v>0</v>
      </c>
      <c r="R203" s="33">
        <v>0</v>
      </c>
      <c r="S203" s="37">
        <v>-0.1</v>
      </c>
      <c r="T203" s="39">
        <v>-3.8</v>
      </c>
      <c r="U203">
        <v>0</v>
      </c>
      <c r="V203" s="9">
        <v>-1.6732999999999887E-2</v>
      </c>
      <c r="W203" s="38">
        <v>0</v>
      </c>
      <c r="X203" s="38">
        <v>97.5</v>
      </c>
      <c r="Y203" s="38">
        <v>106.3</v>
      </c>
      <c r="Z203" s="38">
        <v>91.8</v>
      </c>
      <c r="AA203" s="9">
        <v>0.9</v>
      </c>
      <c r="AB203" s="38">
        <v>0</v>
      </c>
      <c r="AC203" s="38">
        <v>1.0473348981134833E-3</v>
      </c>
      <c r="AD203" s="38">
        <v>0</v>
      </c>
      <c r="AE203" s="9">
        <v>4.0409583130425197</v>
      </c>
      <c r="AF203" s="38">
        <v>1</v>
      </c>
      <c r="AG203" s="9">
        <v>0.31173458027164713</v>
      </c>
      <c r="AH203" s="41">
        <v>0</v>
      </c>
      <c r="AI203" s="42">
        <v>0.83710142325449555</v>
      </c>
      <c r="AJ203" s="42">
        <v>1.094253018641911</v>
      </c>
      <c r="AK203" s="9"/>
      <c r="AM203" s="9"/>
      <c r="AN203" s="9"/>
      <c r="AO203" s="9"/>
      <c r="AP203" s="9"/>
      <c r="AQ203" s="9"/>
      <c r="AR203" s="9"/>
      <c r="AS203" s="9"/>
      <c r="AU203" s="9"/>
      <c r="AV203" s="9"/>
      <c r="AW203" s="15"/>
      <c r="AX203" s="9"/>
      <c r="BC203" s="9"/>
      <c r="BD203" s="9"/>
      <c r="BE203" s="9"/>
      <c r="BF203" s="9"/>
      <c r="BG203" s="9"/>
      <c r="BL203" s="9"/>
      <c r="BM203" s="9"/>
      <c r="BN203" s="9"/>
      <c r="BO203" s="20"/>
      <c r="BP203" s="20"/>
      <c r="BQ203" s="9"/>
      <c r="BR203" s="9"/>
      <c r="BS203" s="21"/>
      <c r="BT203" s="9"/>
      <c r="BW203" s="2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</row>
    <row r="204" spans="1:87" ht="15">
      <c r="A204" s="13">
        <v>35431</v>
      </c>
      <c r="B204" s="12">
        <v>10809.133</v>
      </c>
      <c r="C204" s="9">
        <v>0</v>
      </c>
      <c r="D204" s="24">
        <v>30923</v>
      </c>
      <c r="E204" s="12">
        <v>77.730999999999995</v>
      </c>
      <c r="F204" s="12">
        <v>73.129000000000005</v>
      </c>
      <c r="G204" s="12">
        <v>102.532</v>
      </c>
      <c r="H204" s="34">
        <v>493.7</v>
      </c>
      <c r="I204" s="34">
        <v>8382.7000000000007</v>
      </c>
      <c r="J204" s="35">
        <v>79.016000000000005</v>
      </c>
      <c r="K204" s="35">
        <v>71.322999999999993</v>
      </c>
      <c r="L204" s="35">
        <v>82.429000000000002</v>
      </c>
      <c r="M204" s="5">
        <v>-1.0569572793726667</v>
      </c>
      <c r="N204" s="5">
        <v>-2.7451270696609176</v>
      </c>
      <c r="O204" s="5">
        <v>-0.90610655638090987</v>
      </c>
      <c r="P204" s="17">
        <v>0</v>
      </c>
      <c r="Q204" s="6">
        <v>0</v>
      </c>
      <c r="R204" s="33">
        <v>0</v>
      </c>
      <c r="S204" s="37">
        <v>0.42399999999999999</v>
      </c>
      <c r="T204" s="39">
        <v>-2</v>
      </c>
      <c r="U204">
        <v>0</v>
      </c>
      <c r="V204" s="9">
        <v>-2.262300000000006E-2</v>
      </c>
      <c r="W204" s="38">
        <v>0</v>
      </c>
      <c r="X204" s="38">
        <v>99</v>
      </c>
      <c r="Y204" s="38">
        <v>108</v>
      </c>
      <c r="Z204" s="38">
        <v>93.3</v>
      </c>
      <c r="AA204" s="9">
        <v>1.1000000000000001</v>
      </c>
      <c r="AB204" s="38">
        <v>0</v>
      </c>
      <c r="AC204" s="38">
        <v>2.1745192425928206E-2</v>
      </c>
      <c r="AD204" s="38">
        <v>0</v>
      </c>
      <c r="AE204" s="9">
        <v>3.9516460484144478</v>
      </c>
      <c r="AF204" s="38">
        <v>1</v>
      </c>
      <c r="AG204" s="9">
        <v>-0.58823529411765207</v>
      </c>
      <c r="AH204" s="41">
        <v>0</v>
      </c>
      <c r="AI204" s="42">
        <v>0.26825613071462839</v>
      </c>
      <c r="AJ204" s="42">
        <v>0.61291260883985921</v>
      </c>
      <c r="AK204" s="9"/>
      <c r="AM204" s="9"/>
      <c r="AN204" s="9"/>
      <c r="AO204" s="9"/>
      <c r="AP204" s="9"/>
      <c r="AQ204" s="9"/>
      <c r="AR204" s="9"/>
      <c r="AS204" s="9"/>
      <c r="AU204" s="9"/>
      <c r="AV204" s="9"/>
      <c r="AW204" s="15"/>
      <c r="AX204" s="9"/>
      <c r="BC204" s="9"/>
      <c r="BD204" s="9"/>
      <c r="BE204" s="9"/>
      <c r="BF204" s="9"/>
      <c r="BG204" s="9"/>
      <c r="BL204" s="9"/>
      <c r="BM204" s="9"/>
      <c r="BN204" s="9"/>
      <c r="BO204" s="20"/>
      <c r="BP204" s="20"/>
      <c r="BQ204" s="9"/>
      <c r="BR204" s="9"/>
      <c r="BS204" s="21"/>
      <c r="BT204" s="9"/>
      <c r="BW204" s="2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</row>
    <row r="205" spans="1:87" ht="15">
      <c r="A205" s="13">
        <v>35521</v>
      </c>
      <c r="B205" s="12">
        <v>10972.224</v>
      </c>
      <c r="C205" s="9">
        <v>0</v>
      </c>
      <c r="D205" s="24">
        <v>31385</v>
      </c>
      <c r="E205" s="12">
        <v>77.941000000000003</v>
      </c>
      <c r="F205" s="12">
        <v>74.435000000000002</v>
      </c>
      <c r="G205" s="12">
        <v>103.14700000000001</v>
      </c>
      <c r="H205" s="34">
        <v>501.8</v>
      </c>
      <c r="I205" s="34">
        <v>8504.4</v>
      </c>
      <c r="J205" s="35">
        <v>79.210999999999999</v>
      </c>
      <c r="K205" s="35">
        <v>72.164000000000001</v>
      </c>
      <c r="L205" s="35">
        <v>82.875</v>
      </c>
      <c r="M205" s="5">
        <v>2.9653925338103955</v>
      </c>
      <c r="N205" s="5">
        <v>1.7886293775326654</v>
      </c>
      <c r="O205" s="5">
        <v>-0.80925721059041078</v>
      </c>
      <c r="P205" s="17">
        <v>0</v>
      </c>
      <c r="Q205" s="6">
        <v>0</v>
      </c>
      <c r="R205" s="33">
        <v>0</v>
      </c>
      <c r="S205" s="37">
        <v>-0.2359</v>
      </c>
      <c r="T205" s="39">
        <v>0</v>
      </c>
      <c r="U205">
        <v>0</v>
      </c>
      <c r="V205" s="9">
        <v>-1.4342999999999995E-2</v>
      </c>
      <c r="W205" s="38">
        <v>0</v>
      </c>
      <c r="X205" s="38">
        <v>103</v>
      </c>
      <c r="Y205" s="38">
        <v>114</v>
      </c>
      <c r="Z205" s="38">
        <v>96</v>
      </c>
      <c r="AA205" s="9">
        <v>1</v>
      </c>
      <c r="AB205" s="38">
        <v>0</v>
      </c>
      <c r="AC205" s="38">
        <v>4.0604709509192594E-2</v>
      </c>
      <c r="AD205" s="38">
        <v>0</v>
      </c>
      <c r="AE205" s="9">
        <v>4.6963352941697512</v>
      </c>
      <c r="AF205" s="38">
        <v>1</v>
      </c>
      <c r="AG205" s="9">
        <v>1.4737077146365891</v>
      </c>
      <c r="AH205" s="41">
        <v>0</v>
      </c>
      <c r="AI205" s="42">
        <v>0.52921887867961614</v>
      </c>
      <c r="AJ205" s="42">
        <v>0.56654863792210364</v>
      </c>
      <c r="AK205" s="9"/>
      <c r="AM205" s="9"/>
      <c r="AN205" s="9"/>
      <c r="AO205" s="9"/>
      <c r="AP205" s="9"/>
      <c r="AQ205" s="9"/>
      <c r="AR205" s="9"/>
      <c r="AS205" s="9"/>
      <c r="AU205" s="9"/>
      <c r="AV205" s="9"/>
      <c r="AW205" s="15"/>
      <c r="AX205" s="9"/>
      <c r="BC205" s="9"/>
      <c r="BD205" s="9"/>
      <c r="BE205" s="9"/>
      <c r="BF205" s="9"/>
      <c r="BG205" s="9"/>
      <c r="BL205" s="9"/>
      <c r="BM205" s="9"/>
      <c r="BN205" s="9"/>
      <c r="BO205" s="20"/>
      <c r="BP205" s="20"/>
      <c r="BQ205" s="9"/>
      <c r="BR205" s="9"/>
      <c r="BS205" s="21"/>
      <c r="BT205" s="9"/>
      <c r="BW205" s="2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</row>
    <row r="206" spans="1:87" ht="15">
      <c r="A206" s="13">
        <v>35612</v>
      </c>
      <c r="B206" s="12">
        <v>11111.950999999999</v>
      </c>
      <c r="C206" s="9">
        <v>0</v>
      </c>
      <c r="D206" s="24">
        <v>31792</v>
      </c>
      <c r="E206" s="12">
        <v>78.22</v>
      </c>
      <c r="F206" s="12">
        <v>75.495000000000005</v>
      </c>
      <c r="G206" s="12">
        <v>103.77500000000001</v>
      </c>
      <c r="H206" s="34">
        <v>528</v>
      </c>
      <c r="I206" s="34">
        <v>8677.6</v>
      </c>
      <c r="J206" s="35">
        <v>79.414000000000001</v>
      </c>
      <c r="K206" s="35">
        <v>72.748999999999995</v>
      </c>
      <c r="L206" s="35">
        <v>83.289000000000001</v>
      </c>
      <c r="M206" s="5">
        <v>3.685261354156248</v>
      </c>
      <c r="N206" s="5">
        <v>3.1971311793326853</v>
      </c>
      <c r="O206" s="5">
        <v>-0.55928190512034615</v>
      </c>
      <c r="P206" s="17">
        <v>0</v>
      </c>
      <c r="Q206" s="6">
        <v>0</v>
      </c>
      <c r="R206" s="33">
        <v>0</v>
      </c>
      <c r="S206" s="37">
        <v>2.35E-2</v>
      </c>
      <c r="T206" s="39">
        <v>8.3000000000000007</v>
      </c>
      <c r="U206">
        <v>0</v>
      </c>
      <c r="V206" s="9">
        <v>-8.2580000000000986E-3</v>
      </c>
      <c r="W206" s="38">
        <v>0</v>
      </c>
      <c r="X206" s="38">
        <v>105.8</v>
      </c>
      <c r="Y206" s="38">
        <v>112.9</v>
      </c>
      <c r="Z206" s="38">
        <v>101.2</v>
      </c>
      <c r="AA206" s="9">
        <v>1</v>
      </c>
      <c r="AB206" s="9">
        <v>1</v>
      </c>
      <c r="AC206" s="38">
        <v>2.9323081697944176E-2</v>
      </c>
      <c r="AD206" s="38">
        <v>0</v>
      </c>
      <c r="AE206" s="9">
        <v>5.4480007486952697</v>
      </c>
      <c r="AF206" s="38">
        <v>1</v>
      </c>
      <c r="AG206" s="9">
        <v>0.36307624601165855</v>
      </c>
      <c r="AH206" s="41">
        <v>0</v>
      </c>
      <c r="AI206" s="42">
        <v>0.8668740748054089</v>
      </c>
      <c r="AJ206" s="42">
        <v>0.62447572847632893</v>
      </c>
      <c r="AK206" s="9"/>
      <c r="AM206" s="9"/>
      <c r="AN206" s="9"/>
      <c r="AO206" s="9"/>
      <c r="AP206" s="9"/>
      <c r="AQ206" s="9"/>
      <c r="AR206" s="9"/>
      <c r="AS206" s="9"/>
      <c r="AU206" s="9"/>
      <c r="AV206" s="9"/>
      <c r="AW206" s="15"/>
      <c r="AX206" s="9"/>
      <c r="BC206" s="9"/>
      <c r="BD206" s="9"/>
      <c r="BE206" s="9"/>
      <c r="BF206" s="9"/>
      <c r="BG206" s="9"/>
      <c r="BL206" s="9"/>
      <c r="BM206" s="9"/>
      <c r="BN206" s="9"/>
      <c r="BO206" s="20"/>
      <c r="BP206" s="20"/>
      <c r="BQ206" s="9"/>
      <c r="BR206" s="9"/>
      <c r="BS206" s="21"/>
      <c r="BT206" s="9"/>
      <c r="BW206" s="2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</row>
    <row r="207" spans="1:87" ht="15">
      <c r="A207" s="13">
        <v>35704</v>
      </c>
      <c r="B207" s="12">
        <v>11198.207</v>
      </c>
      <c r="C207" s="9">
        <v>0</v>
      </c>
      <c r="D207" s="24">
        <v>32045</v>
      </c>
      <c r="E207" s="12">
        <v>78.478999999999999</v>
      </c>
      <c r="F207" s="12">
        <v>76.164000000000001</v>
      </c>
      <c r="G207" s="12">
        <v>104.264</v>
      </c>
      <c r="H207" s="34">
        <v>527.6</v>
      </c>
      <c r="I207" s="34">
        <v>8820.1</v>
      </c>
      <c r="J207" s="35">
        <v>79.661000000000001</v>
      </c>
      <c r="K207" s="35">
        <v>73.049000000000007</v>
      </c>
      <c r="L207" s="35">
        <v>84.358000000000004</v>
      </c>
      <c r="M207" s="5">
        <v>1.1348356024914041</v>
      </c>
      <c r="N207" s="5">
        <v>1.3338906401906336</v>
      </c>
      <c r="O207" s="5">
        <v>-0.66388499960197422</v>
      </c>
      <c r="P207" s="17">
        <v>0</v>
      </c>
      <c r="Q207" s="6">
        <v>0</v>
      </c>
      <c r="R207" s="33">
        <v>0</v>
      </c>
      <c r="S207" s="37">
        <v>1.2500000000000001E-2</v>
      </c>
      <c r="T207" s="39">
        <v>10</v>
      </c>
      <c r="U207">
        <v>0</v>
      </c>
      <c r="V207" s="9">
        <v>-0.10132699999999994</v>
      </c>
      <c r="W207" s="38">
        <v>0</v>
      </c>
      <c r="X207" s="38">
        <v>105</v>
      </c>
      <c r="Y207" s="38">
        <v>112</v>
      </c>
      <c r="Z207" s="38">
        <v>100.4</v>
      </c>
      <c r="AA207" s="9">
        <v>1.1000000000000001</v>
      </c>
      <c r="AB207" s="9">
        <v>1</v>
      </c>
      <c r="AC207" s="38">
        <v>3.8998484087008567E-2</v>
      </c>
      <c r="AD207" s="38">
        <v>0</v>
      </c>
      <c r="AE207" s="9">
        <v>3.5002145396908713</v>
      </c>
      <c r="AF207" s="38">
        <v>1</v>
      </c>
      <c r="AG207" s="9">
        <v>0.66871300153475488</v>
      </c>
      <c r="AH207" s="41">
        <v>0</v>
      </c>
      <c r="AI207" s="42">
        <v>0.87859625592463431</v>
      </c>
      <c r="AJ207" s="42">
        <v>0.25980085049398988</v>
      </c>
      <c r="AK207" s="9"/>
      <c r="AM207" s="9"/>
      <c r="AN207" s="9"/>
      <c r="AO207" s="9"/>
      <c r="AP207" s="9"/>
      <c r="AQ207" s="9"/>
      <c r="AR207" s="9"/>
      <c r="AS207" s="9"/>
      <c r="AU207" s="9"/>
      <c r="AV207" s="9"/>
      <c r="AW207" s="15"/>
      <c r="AX207" s="9"/>
      <c r="BC207" s="9"/>
      <c r="BD207" s="9"/>
      <c r="BE207" s="9"/>
      <c r="BF207" s="9"/>
      <c r="BG207" s="9"/>
      <c r="BL207" s="9"/>
      <c r="BM207" s="9"/>
      <c r="BN207" s="9"/>
      <c r="BO207" s="20"/>
      <c r="BP207" s="20"/>
      <c r="BQ207" s="9"/>
      <c r="BR207" s="9"/>
      <c r="BS207" s="21"/>
      <c r="BT207" s="9"/>
      <c r="BW207" s="2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</row>
    <row r="208" spans="1:87" ht="15">
      <c r="A208" s="13">
        <v>35796</v>
      </c>
      <c r="B208" s="12">
        <v>11308.995000000001</v>
      </c>
      <c r="C208" s="9">
        <v>0</v>
      </c>
      <c r="D208" s="24">
        <v>32332</v>
      </c>
      <c r="E208" s="12">
        <v>78.606999999999999</v>
      </c>
      <c r="F208" s="12">
        <v>77.084000000000003</v>
      </c>
      <c r="G208" s="12">
        <v>104.84699999999999</v>
      </c>
      <c r="H208" s="34">
        <v>451.3</v>
      </c>
      <c r="I208" s="34">
        <v>8928.9</v>
      </c>
      <c r="J208" s="35">
        <v>79.656000000000006</v>
      </c>
      <c r="K208" s="35">
        <v>73.52</v>
      </c>
      <c r="L208" s="35">
        <v>85.748000000000005</v>
      </c>
      <c r="M208" s="5">
        <v>1.8384616691977169</v>
      </c>
      <c r="N208" s="5">
        <v>2.5275247232948512</v>
      </c>
      <c r="O208" s="5">
        <v>-0.1360814098686933</v>
      </c>
      <c r="P208" s="17">
        <v>0</v>
      </c>
      <c r="Q208" s="6">
        <v>0</v>
      </c>
      <c r="R208" s="33">
        <v>0</v>
      </c>
      <c r="S208" s="37">
        <v>0.30790000000000001</v>
      </c>
      <c r="T208" s="39">
        <v>0</v>
      </c>
      <c r="U208">
        <v>0</v>
      </c>
      <c r="V208" s="9">
        <v>9.6110000000000362E-3</v>
      </c>
      <c r="W208" s="38">
        <v>0</v>
      </c>
      <c r="X208" s="38">
        <v>107.8</v>
      </c>
      <c r="Y208" s="38">
        <v>115.7</v>
      </c>
      <c r="Z208" s="38">
        <v>102.8</v>
      </c>
      <c r="AA208" s="9">
        <v>0.8</v>
      </c>
      <c r="AB208" s="9">
        <v>1</v>
      </c>
      <c r="AC208" s="38">
        <v>3.4332804527417826E-2</v>
      </c>
      <c r="AD208" s="38">
        <v>0</v>
      </c>
      <c r="AE208" s="9">
        <v>5.2071074764297842</v>
      </c>
      <c r="AF208" s="38">
        <v>1</v>
      </c>
      <c r="AG208" s="9">
        <v>0.72960906021997118</v>
      </c>
      <c r="AH208" s="41">
        <v>0</v>
      </c>
      <c r="AI208" s="42">
        <v>0.63171381225584933</v>
      </c>
      <c r="AJ208" s="42">
        <v>0.52461467918583371</v>
      </c>
      <c r="AK208" s="9"/>
      <c r="AM208" s="9"/>
      <c r="AN208" s="9"/>
      <c r="AO208" s="9"/>
      <c r="AP208" s="9"/>
      <c r="AQ208" s="9"/>
      <c r="AR208" s="9"/>
      <c r="AS208" s="9"/>
      <c r="AU208" s="9"/>
      <c r="AV208" s="9"/>
      <c r="AW208" s="15"/>
      <c r="AX208" s="9"/>
      <c r="BC208" s="9"/>
      <c r="BD208" s="9"/>
      <c r="BE208" s="9"/>
      <c r="BF208" s="9"/>
      <c r="BG208" s="9"/>
      <c r="BL208" s="9"/>
      <c r="BM208" s="9"/>
      <c r="BN208" s="9"/>
      <c r="BO208" s="20"/>
      <c r="BP208" s="20"/>
      <c r="BQ208" s="9"/>
      <c r="BR208" s="9"/>
      <c r="BS208" s="21"/>
      <c r="BT208" s="9"/>
      <c r="BW208" s="2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</row>
    <row r="209" spans="1:87" ht="15">
      <c r="A209" s="13">
        <v>35886</v>
      </c>
      <c r="B209" s="12">
        <v>11418.673000000001</v>
      </c>
      <c r="C209" s="9">
        <v>0</v>
      </c>
      <c r="D209" s="24">
        <v>32625</v>
      </c>
      <c r="E209" s="12">
        <v>78.772000000000006</v>
      </c>
      <c r="F209" s="12">
        <v>77.956999999999994</v>
      </c>
      <c r="G209" s="12">
        <v>105.32299999999999</v>
      </c>
      <c r="H209" s="34">
        <v>453.7</v>
      </c>
      <c r="I209" s="34">
        <v>9075.7999999999993</v>
      </c>
      <c r="J209" s="35">
        <v>79.798000000000002</v>
      </c>
      <c r="K209" s="35">
        <v>74.016999999999996</v>
      </c>
      <c r="L209" s="35">
        <v>86.631</v>
      </c>
      <c r="M209" s="5">
        <v>1.7052182291204918</v>
      </c>
      <c r="N209" s="5">
        <v>2.5152682450449619</v>
      </c>
      <c r="O209" s="5">
        <v>-6.7829152701087969E-2</v>
      </c>
      <c r="P209" s="17">
        <v>0</v>
      </c>
      <c r="Q209" s="6">
        <v>0</v>
      </c>
      <c r="R209" s="33">
        <v>0</v>
      </c>
      <c r="S209" s="37">
        <v>1.3469</v>
      </c>
      <c r="T209" s="39">
        <v>4</v>
      </c>
      <c r="U209">
        <v>0</v>
      </c>
      <c r="V209" s="9">
        <v>-2.6000999999999941E-2</v>
      </c>
      <c r="W209" s="38">
        <v>0</v>
      </c>
      <c r="X209" s="38">
        <v>106.9</v>
      </c>
      <c r="Y209" s="38">
        <v>114.9</v>
      </c>
      <c r="Z209" s="38">
        <v>101.8</v>
      </c>
      <c r="AA209" s="9">
        <v>0.7</v>
      </c>
      <c r="AB209" s="9">
        <v>1</v>
      </c>
      <c r="AC209" s="38">
        <v>3.6900171879761468E-2</v>
      </c>
      <c r="AD209" s="38">
        <v>0</v>
      </c>
      <c r="AE209" s="9">
        <v>1.0462003851984036</v>
      </c>
      <c r="AF209" s="38">
        <v>1</v>
      </c>
      <c r="AG209" s="9">
        <v>-0.36756756756757625</v>
      </c>
      <c r="AH209" s="41">
        <v>0</v>
      </c>
      <c r="AI209" s="42">
        <v>0.76023871028699319</v>
      </c>
      <c r="AJ209" s="42">
        <v>0.6372920273561764</v>
      </c>
      <c r="AK209" s="9"/>
      <c r="AM209" s="9"/>
      <c r="AN209" s="9"/>
      <c r="AO209" s="9"/>
      <c r="AP209" s="9"/>
      <c r="AQ209" s="9"/>
      <c r="AR209" s="9"/>
      <c r="AS209" s="9"/>
      <c r="AU209" s="9"/>
      <c r="AV209" s="9"/>
      <c r="AW209" s="15"/>
      <c r="AX209" s="9"/>
      <c r="BC209" s="9"/>
      <c r="BD209" s="9"/>
      <c r="BE209" s="9"/>
      <c r="BF209" s="9"/>
      <c r="BG209" s="9"/>
      <c r="BL209" s="9"/>
      <c r="BM209" s="9"/>
      <c r="BN209" s="9"/>
      <c r="BO209" s="20"/>
      <c r="BP209" s="20"/>
      <c r="BQ209" s="9"/>
      <c r="BR209" s="9"/>
      <c r="BS209" s="21"/>
      <c r="BT209" s="9"/>
      <c r="BW209" s="2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</row>
    <row r="210" spans="1:87" ht="15">
      <c r="A210" s="13">
        <v>35977</v>
      </c>
      <c r="B210" s="12">
        <v>11568.054</v>
      </c>
      <c r="C210" s="9">
        <v>0</v>
      </c>
      <c r="D210" s="24">
        <v>33072</v>
      </c>
      <c r="E210" s="12">
        <v>79.066999999999993</v>
      </c>
      <c r="F210" s="12">
        <v>79.156000000000006</v>
      </c>
      <c r="G210" s="12">
        <v>105.49</v>
      </c>
      <c r="H210" s="34">
        <v>464.9</v>
      </c>
      <c r="I210" s="34">
        <v>9239.2000000000007</v>
      </c>
      <c r="J210" s="35">
        <v>80.040000000000006</v>
      </c>
      <c r="K210" s="35">
        <v>75.037000000000006</v>
      </c>
      <c r="L210" s="35">
        <v>87.593999999999994</v>
      </c>
      <c r="M210" s="5">
        <v>3.6878774795309175</v>
      </c>
      <c r="N210" s="5">
        <v>4.1684363911592968</v>
      </c>
      <c r="O210" s="5">
        <v>0.18979328753754354</v>
      </c>
      <c r="P210" s="17">
        <v>0</v>
      </c>
      <c r="Q210" s="6">
        <v>0</v>
      </c>
      <c r="R210" s="33">
        <v>0</v>
      </c>
      <c r="S210" s="37">
        <v>0.9022</v>
      </c>
      <c r="T210" s="39">
        <v>9.8000000000000007</v>
      </c>
      <c r="U210">
        <v>0</v>
      </c>
      <c r="V210" s="9">
        <v>2.2626999999999953E-2</v>
      </c>
      <c r="W210" s="38">
        <v>0</v>
      </c>
      <c r="X210" s="38">
        <v>103.5</v>
      </c>
      <c r="Y210" s="38">
        <v>113</v>
      </c>
      <c r="Z210" s="38">
        <v>97.4</v>
      </c>
      <c r="AA210" s="9">
        <v>0.6</v>
      </c>
      <c r="AB210" s="9">
        <v>1</v>
      </c>
      <c r="AC210" s="38">
        <v>2.5894359244015508E-2</v>
      </c>
      <c r="AD210" s="38">
        <v>0</v>
      </c>
      <c r="AE210" s="9">
        <v>4.4832257287485966</v>
      </c>
      <c r="AF210" s="38">
        <v>1</v>
      </c>
      <c r="AG210" s="9">
        <v>0.34722222222222854</v>
      </c>
      <c r="AH210" s="41">
        <v>0</v>
      </c>
      <c r="AI210" s="42">
        <v>1.0770748165790121</v>
      </c>
      <c r="AJ210" s="42">
        <v>1.1332844900768131</v>
      </c>
      <c r="AK210" s="9"/>
      <c r="AM210" s="9"/>
      <c r="AN210" s="9"/>
      <c r="AO210" s="9"/>
      <c r="AP210" s="9"/>
      <c r="AQ210" s="9"/>
      <c r="AR210" s="9"/>
      <c r="AS210" s="9"/>
      <c r="AU210" s="9"/>
      <c r="AV210" s="9"/>
      <c r="AW210" s="15"/>
      <c r="AX210" s="9"/>
      <c r="BC210" s="9"/>
      <c r="BD210" s="9"/>
      <c r="BE210" s="9"/>
      <c r="BF210" s="9"/>
      <c r="BG210" s="9"/>
      <c r="BL210" s="9"/>
      <c r="BM210" s="9"/>
      <c r="BN210" s="9"/>
      <c r="BO210" s="20"/>
      <c r="BP210" s="20"/>
      <c r="BQ210" s="9"/>
      <c r="BR210" s="9"/>
      <c r="BS210" s="21"/>
      <c r="BT210" s="9"/>
      <c r="BW210" s="2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</row>
    <row r="211" spans="1:87" ht="15">
      <c r="A211" s="13">
        <v>36069</v>
      </c>
      <c r="B211" s="12">
        <v>11757.945</v>
      </c>
      <c r="C211" s="9">
        <v>0</v>
      </c>
      <c r="D211" s="24">
        <v>33618</v>
      </c>
      <c r="E211" s="12">
        <v>79.313000000000002</v>
      </c>
      <c r="F211" s="12">
        <v>80.784000000000006</v>
      </c>
      <c r="G211" s="12">
        <v>106.97199999999999</v>
      </c>
      <c r="H211" s="34">
        <v>442</v>
      </c>
      <c r="I211" s="34">
        <v>9353.4</v>
      </c>
      <c r="J211" s="35">
        <v>80.244</v>
      </c>
      <c r="K211" s="35">
        <v>75.519000000000005</v>
      </c>
      <c r="L211" s="35">
        <v>87.543999999999997</v>
      </c>
      <c r="M211" s="5">
        <v>-4.8534783647835478E-2</v>
      </c>
      <c r="N211" s="5">
        <v>-0.27701021363708334</v>
      </c>
      <c r="O211" s="5">
        <v>-0.13300610223770951</v>
      </c>
      <c r="P211" s="17">
        <v>0</v>
      </c>
      <c r="Q211" s="6">
        <v>0</v>
      </c>
      <c r="R211" s="33">
        <v>0</v>
      </c>
      <c r="S211" s="37">
        <v>-0.1132</v>
      </c>
      <c r="T211" s="39">
        <v>5.8</v>
      </c>
      <c r="U211">
        <v>0</v>
      </c>
      <c r="V211" s="9">
        <v>-0.10807900000000004</v>
      </c>
      <c r="W211" s="38">
        <v>0</v>
      </c>
      <c r="X211" s="38">
        <v>100.2</v>
      </c>
      <c r="Y211" s="38">
        <v>114.2</v>
      </c>
      <c r="Z211" s="38">
        <v>91.2</v>
      </c>
      <c r="AA211" s="9">
        <v>0.9</v>
      </c>
      <c r="AB211" s="9">
        <v>1</v>
      </c>
      <c r="AC211" s="38">
        <v>2.9801465874357724E-2</v>
      </c>
      <c r="AD211" s="38">
        <v>0</v>
      </c>
      <c r="AE211" s="9">
        <v>6.7710019587795767</v>
      </c>
      <c r="AF211" s="38">
        <v>1</v>
      </c>
      <c r="AG211" s="9">
        <v>-6.4878892733560178E-2</v>
      </c>
      <c r="AH211" s="41">
        <v>0</v>
      </c>
      <c r="AI211" s="42">
        <v>1.4095339287551389</v>
      </c>
      <c r="AJ211" s="42">
        <v>1.2239610178701621</v>
      </c>
      <c r="AK211" s="9"/>
      <c r="AM211" s="9"/>
      <c r="AN211" s="9"/>
      <c r="AO211" s="9"/>
      <c r="AP211" s="9"/>
      <c r="AQ211" s="9"/>
      <c r="AR211" s="9"/>
      <c r="AS211" s="9"/>
      <c r="AU211" s="9"/>
      <c r="AV211" s="9"/>
      <c r="AW211" s="15"/>
      <c r="AX211" s="9"/>
      <c r="BC211" s="9"/>
      <c r="BD211" s="9"/>
      <c r="BE211" s="9"/>
      <c r="BF211" s="9"/>
      <c r="BG211" s="9"/>
      <c r="BL211" s="9"/>
      <c r="BM211" s="9"/>
      <c r="BN211" s="9"/>
      <c r="BO211" s="20"/>
      <c r="BP211" s="20"/>
      <c r="BQ211" s="9"/>
      <c r="BR211" s="9"/>
      <c r="BS211" s="21"/>
      <c r="BT211" s="9"/>
      <c r="BW211" s="2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</row>
    <row r="212" spans="1:87" ht="15">
      <c r="A212" s="13">
        <v>36161</v>
      </c>
      <c r="B212" s="12">
        <v>11867.763000000001</v>
      </c>
      <c r="C212" s="9">
        <v>0</v>
      </c>
      <c r="D212" s="24">
        <v>33981</v>
      </c>
      <c r="E212" s="12">
        <v>79.63</v>
      </c>
      <c r="F212" s="12">
        <v>81.69</v>
      </c>
      <c r="G212" s="12">
        <v>106.99299999999999</v>
      </c>
      <c r="H212" s="34">
        <v>471.6</v>
      </c>
      <c r="I212" s="34">
        <v>9516.7000000000007</v>
      </c>
      <c r="J212" s="35">
        <v>80.453000000000003</v>
      </c>
      <c r="K212" s="35">
        <v>76.350999999999999</v>
      </c>
      <c r="L212" s="35">
        <v>88.629000000000005</v>
      </c>
      <c r="M212" s="5">
        <v>4.494939935657067</v>
      </c>
      <c r="N212" s="5">
        <v>3.4142622278580816</v>
      </c>
      <c r="O212" s="5">
        <v>5.1566250397108923E-2</v>
      </c>
      <c r="P212" s="17">
        <v>0</v>
      </c>
      <c r="Q212" s="6">
        <v>0</v>
      </c>
      <c r="R212" s="33">
        <v>0</v>
      </c>
      <c r="S212" s="37">
        <v>0.51939999999999997</v>
      </c>
      <c r="T212" s="39">
        <v>13.5</v>
      </c>
      <c r="U212">
        <v>1.6615829303648379E-3</v>
      </c>
      <c r="V212" s="9">
        <v>4.3949999999999934E-2</v>
      </c>
      <c r="W212" s="38">
        <v>0</v>
      </c>
      <c r="X212" s="38">
        <v>105.9</v>
      </c>
      <c r="Y212" s="38">
        <v>116</v>
      </c>
      <c r="Z212" s="38">
        <v>99.4</v>
      </c>
      <c r="AA212" s="9">
        <v>0.5</v>
      </c>
      <c r="AB212" s="9">
        <v>1</v>
      </c>
      <c r="AC212" s="38">
        <v>2.2646250640527166E-2</v>
      </c>
      <c r="AD212" s="38">
        <v>0</v>
      </c>
      <c r="AE212" s="9">
        <v>6.4114776470056922</v>
      </c>
      <c r="AF212" s="38">
        <v>1</v>
      </c>
      <c r="AG212" s="9">
        <v>0.74659164682968537</v>
      </c>
      <c r="AH212" s="41">
        <v>1</v>
      </c>
      <c r="AI212" s="42">
        <v>1.0110763344477369</v>
      </c>
      <c r="AJ212" s="42">
        <v>1.293979310514435</v>
      </c>
      <c r="AK212" s="9"/>
      <c r="AM212" s="9"/>
      <c r="AN212" s="9"/>
      <c r="AO212" s="9"/>
      <c r="AP212" s="9"/>
      <c r="AQ212" s="9"/>
      <c r="AR212" s="9"/>
      <c r="AS212" s="9"/>
      <c r="AU212" s="9"/>
      <c r="AV212" s="9"/>
      <c r="AW212" s="15"/>
      <c r="AX212" s="9"/>
      <c r="BC212" s="9"/>
      <c r="BD212" s="9"/>
      <c r="BE212" s="9"/>
      <c r="BF212" s="9"/>
      <c r="BG212" s="9"/>
      <c r="BL212" s="9"/>
      <c r="BM212" s="9"/>
      <c r="BN212" s="9"/>
      <c r="BO212" s="20"/>
      <c r="BP212" s="20"/>
      <c r="BQ212" s="9"/>
      <c r="BR212" s="9"/>
      <c r="BS212" s="21"/>
      <c r="BT212" s="9"/>
      <c r="BW212" s="2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</row>
    <row r="213" spans="1:87" ht="15">
      <c r="A213" s="13">
        <v>36251</v>
      </c>
      <c r="B213" s="12">
        <v>11967.734</v>
      </c>
      <c r="C213" s="9">
        <v>0</v>
      </c>
      <c r="D213" s="24">
        <v>34287</v>
      </c>
      <c r="E213" s="12">
        <v>79.894000000000005</v>
      </c>
      <c r="F213" s="12">
        <v>82.429000000000002</v>
      </c>
      <c r="G213" s="12">
        <v>107.741</v>
      </c>
      <c r="H213" s="34">
        <v>464.4</v>
      </c>
      <c r="I213" s="34">
        <v>9607.7999999999993</v>
      </c>
      <c r="J213" s="35">
        <v>80.882999999999996</v>
      </c>
      <c r="K213" s="35">
        <v>76.506</v>
      </c>
      <c r="L213" s="35">
        <v>88.195999999999998</v>
      </c>
      <c r="M213" s="5">
        <v>-1.6044544637783353</v>
      </c>
      <c r="N213" s="5">
        <v>-3.3434393199738071</v>
      </c>
      <c r="O213" s="5">
        <v>0.24648666047349127</v>
      </c>
      <c r="P213" s="17">
        <v>0</v>
      </c>
      <c r="Q213" s="6">
        <v>0</v>
      </c>
      <c r="R213" s="33">
        <v>0</v>
      </c>
      <c r="S213" s="37">
        <v>-0.3402</v>
      </c>
      <c r="T213" s="39">
        <v>14.5</v>
      </c>
      <c r="U213">
        <v>0</v>
      </c>
      <c r="V213" s="9">
        <v>1.819000000000015E-3</v>
      </c>
      <c r="W213" s="38">
        <v>0</v>
      </c>
      <c r="X213" s="38">
        <v>106.2</v>
      </c>
      <c r="Y213" s="38">
        <v>118.6</v>
      </c>
      <c r="Z213" s="38">
        <v>98.3</v>
      </c>
      <c r="AA213" s="9">
        <v>0.3</v>
      </c>
      <c r="AB213" s="9">
        <v>1</v>
      </c>
      <c r="AC213" s="38">
        <v>3.5101526757178814E-2</v>
      </c>
      <c r="AD213" s="38">
        <v>0</v>
      </c>
      <c r="AE213" s="9">
        <v>4.755542504872623</v>
      </c>
      <c r="AF213" s="38">
        <v>1</v>
      </c>
      <c r="AG213" s="9">
        <v>0.15035978949629225</v>
      </c>
      <c r="AH213" s="41">
        <v>1</v>
      </c>
      <c r="AI213" s="42">
        <v>1.2553446948273661</v>
      </c>
      <c r="AJ213" s="42">
        <v>0.98285875076290952</v>
      </c>
      <c r="AK213" s="9"/>
      <c r="AM213" s="9"/>
      <c r="AN213" s="9"/>
      <c r="AO213" s="9"/>
      <c r="AP213" s="9"/>
      <c r="AQ213" s="9"/>
      <c r="AR213" s="9"/>
      <c r="AS213" s="9"/>
      <c r="AU213" s="9"/>
      <c r="AV213" s="9"/>
      <c r="AW213" s="15"/>
      <c r="AX213" s="9"/>
      <c r="BC213" s="9"/>
      <c r="BD213" s="9"/>
      <c r="BE213" s="9"/>
      <c r="BF213" s="9"/>
      <c r="BG213" s="9"/>
      <c r="BL213" s="9"/>
      <c r="BM213" s="9"/>
      <c r="BN213" s="9"/>
      <c r="BO213" s="20"/>
      <c r="BP213" s="20"/>
      <c r="BQ213" s="9"/>
      <c r="BR213" s="9"/>
      <c r="BS213" s="21"/>
      <c r="BT213" s="9"/>
      <c r="BW213" s="2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</row>
    <row r="214" spans="1:87" ht="15">
      <c r="A214" s="13">
        <v>36342</v>
      </c>
      <c r="B214" s="12">
        <v>12120.093999999999</v>
      </c>
      <c r="C214" s="9">
        <v>0</v>
      </c>
      <c r="D214" s="24">
        <v>34741</v>
      </c>
      <c r="E214" s="12">
        <v>80.186999999999998</v>
      </c>
      <c r="F214" s="12">
        <v>83.695999999999998</v>
      </c>
      <c r="G214" s="12">
        <v>108.45099999999999</v>
      </c>
      <c r="H214" s="34">
        <v>441</v>
      </c>
      <c r="I214" s="34">
        <v>9731.7999999999993</v>
      </c>
      <c r="J214" s="35">
        <v>81.308999999999997</v>
      </c>
      <c r="K214" s="35">
        <v>77.174000000000007</v>
      </c>
      <c r="L214" s="35">
        <v>88.251999999999995</v>
      </c>
      <c r="M214" s="5">
        <v>1.1338994977821177</v>
      </c>
      <c r="N214" s="5">
        <v>-0.76236991401959453</v>
      </c>
      <c r="O214" s="5">
        <v>0.13154607750930858</v>
      </c>
      <c r="P214" s="17">
        <v>0</v>
      </c>
      <c r="Q214" s="6">
        <v>0</v>
      </c>
      <c r="R214" s="33">
        <v>0</v>
      </c>
      <c r="S214" s="37">
        <v>0.77439999999999998</v>
      </c>
      <c r="T214" s="39">
        <v>7.5</v>
      </c>
      <c r="U214">
        <v>0</v>
      </c>
      <c r="V214" s="9">
        <v>-0.12336499999999995</v>
      </c>
      <c r="W214" s="38">
        <v>0</v>
      </c>
      <c r="X214" s="38">
        <v>105.9</v>
      </c>
      <c r="Y214" s="38">
        <v>115.5</v>
      </c>
      <c r="Z214" s="38">
        <v>99.7</v>
      </c>
      <c r="AA214" s="9">
        <v>1.7</v>
      </c>
      <c r="AB214" s="9">
        <v>1</v>
      </c>
      <c r="AC214" s="38">
        <v>4.2323372470016496E-2</v>
      </c>
      <c r="AD214" s="38">
        <v>0</v>
      </c>
      <c r="AE214" s="9">
        <v>5.7865375879766701</v>
      </c>
      <c r="AF214" s="38">
        <v>1</v>
      </c>
      <c r="AG214" s="9">
        <v>1.1367292225201027</v>
      </c>
      <c r="AH214" s="41">
        <v>1</v>
      </c>
      <c r="AI214" s="42">
        <v>0.39505655167783621</v>
      </c>
      <c r="AJ214" s="42">
        <v>0.58550206643336478</v>
      </c>
      <c r="AK214" s="9"/>
      <c r="AM214" s="9"/>
      <c r="AN214" s="9"/>
      <c r="AO214" s="9"/>
      <c r="AP214" s="9"/>
      <c r="AQ214" s="9"/>
      <c r="AR214" s="9"/>
      <c r="AS214" s="9"/>
      <c r="AU214" s="9"/>
      <c r="AV214" s="9"/>
      <c r="AW214" s="15"/>
      <c r="AX214" s="9"/>
      <c r="BC214" s="9"/>
      <c r="BD214" s="9"/>
      <c r="BE214" s="9"/>
      <c r="BF214" s="9"/>
      <c r="BG214" s="9"/>
      <c r="BL214" s="9"/>
      <c r="BM214" s="9"/>
      <c r="BN214" s="9"/>
      <c r="BO214" s="20"/>
      <c r="BP214" s="20"/>
      <c r="BQ214" s="9"/>
      <c r="BR214" s="9"/>
      <c r="BS214" s="21"/>
      <c r="BT214" s="9"/>
      <c r="BW214" s="2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</row>
    <row r="215" spans="1:87" ht="15">
      <c r="A215" s="13">
        <v>36434</v>
      </c>
      <c r="B215" s="12">
        <v>12329.826999999999</v>
      </c>
      <c r="C215" s="9">
        <v>0</v>
      </c>
      <c r="D215" s="24">
        <v>35397</v>
      </c>
      <c r="E215" s="12">
        <v>80.555000000000007</v>
      </c>
      <c r="F215" s="12">
        <v>85.373999999999995</v>
      </c>
      <c r="G215" s="12">
        <v>108.819</v>
      </c>
      <c r="H215" s="34">
        <v>420.8</v>
      </c>
      <c r="I215" s="34">
        <v>9936.2000000000007</v>
      </c>
      <c r="J215" s="35">
        <v>81.792000000000002</v>
      </c>
      <c r="K215" s="35">
        <v>78.454999999999998</v>
      </c>
      <c r="L215" s="35">
        <v>89.438000000000002</v>
      </c>
      <c r="M215" s="5">
        <v>4.4897779743527488</v>
      </c>
      <c r="N215" s="5">
        <v>3.0729492113539001</v>
      </c>
      <c r="O215" s="5">
        <v>-6.7364437127817103E-2</v>
      </c>
      <c r="P215" s="17">
        <v>0</v>
      </c>
      <c r="Q215" s="6">
        <v>0</v>
      </c>
      <c r="R215" s="33">
        <v>0</v>
      </c>
      <c r="S215" s="37">
        <v>-1.1106</v>
      </c>
      <c r="T215" s="39">
        <v>7.8</v>
      </c>
      <c r="U215">
        <v>0</v>
      </c>
      <c r="V215" s="9">
        <v>-0.31930799999999993</v>
      </c>
      <c r="W215" s="38">
        <v>0</v>
      </c>
      <c r="X215" s="38">
        <v>105.2</v>
      </c>
      <c r="Y215" s="38">
        <v>113.9</v>
      </c>
      <c r="Z215" s="38">
        <v>99.7</v>
      </c>
      <c r="AA215" s="9">
        <v>1.3</v>
      </c>
      <c r="AB215" s="9">
        <v>1</v>
      </c>
      <c r="AC215" s="38">
        <v>4.9951290855157815E-2</v>
      </c>
      <c r="AD215" s="38">
        <v>0</v>
      </c>
      <c r="AE215" s="9">
        <v>6.7673767841253119</v>
      </c>
      <c r="AF215" s="38">
        <v>1</v>
      </c>
      <c r="AG215" s="9">
        <v>1.0815396034354592</v>
      </c>
      <c r="AH215" s="41">
        <v>1</v>
      </c>
      <c r="AI215" s="42">
        <v>0.4930879593549426</v>
      </c>
      <c r="AJ215" s="42">
        <v>0.63604717841136826</v>
      </c>
      <c r="AK215" s="9"/>
      <c r="AM215" s="9"/>
      <c r="AN215" s="9"/>
      <c r="AO215" s="9"/>
      <c r="AP215" s="9"/>
      <c r="AQ215" s="9"/>
      <c r="AR215" s="9"/>
      <c r="AS215" s="9"/>
      <c r="AU215" s="9"/>
      <c r="AV215" s="9"/>
      <c r="AW215" s="15"/>
      <c r="AX215" s="9"/>
      <c r="BC215" s="9"/>
      <c r="BD215" s="9"/>
      <c r="BE215" s="9"/>
      <c r="BF215" s="9"/>
      <c r="BG215" s="9"/>
      <c r="BL215" s="9"/>
      <c r="BM215" s="9"/>
      <c r="BN215" s="9"/>
      <c r="BO215" s="20"/>
      <c r="BP215" s="20"/>
      <c r="BQ215" s="9"/>
      <c r="BR215" s="9"/>
      <c r="BS215" s="21"/>
      <c r="BT215" s="9"/>
      <c r="BW215" s="2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</row>
    <row r="216" spans="1:87" ht="15">
      <c r="A216" s="13">
        <v>36526</v>
      </c>
      <c r="B216" s="12">
        <v>12365.164000000001</v>
      </c>
      <c r="C216" s="9">
        <v>0</v>
      </c>
      <c r="D216" s="24">
        <v>35677</v>
      </c>
      <c r="E216" s="12">
        <v>81.165000000000006</v>
      </c>
      <c r="F216" s="12">
        <v>85.406999999999996</v>
      </c>
      <c r="G216" s="12">
        <v>109.248</v>
      </c>
      <c r="H216" s="34">
        <v>397.4</v>
      </c>
      <c r="I216" s="34">
        <v>10216.6</v>
      </c>
      <c r="J216" s="35">
        <v>82.474999999999994</v>
      </c>
      <c r="K216" s="35">
        <v>78.177000000000007</v>
      </c>
      <c r="L216" s="35">
        <v>91.906999999999996</v>
      </c>
      <c r="M216" s="5">
        <v>1.6639253370534912</v>
      </c>
      <c r="N216" s="5">
        <v>1.2479221989635407</v>
      </c>
      <c r="O216" s="5">
        <v>1.0178112362611835</v>
      </c>
      <c r="P216" s="17">
        <v>0</v>
      </c>
      <c r="Q216" s="6">
        <v>0</v>
      </c>
      <c r="R216" s="33">
        <v>0</v>
      </c>
      <c r="S216" s="37">
        <v>4.9299999999999997E-2</v>
      </c>
      <c r="T216" s="39">
        <v>3.8</v>
      </c>
      <c r="U216">
        <v>0</v>
      </c>
      <c r="V216" s="9">
        <v>-0.109823</v>
      </c>
      <c r="W216" s="38">
        <v>1.7654267000000001E-2</v>
      </c>
      <c r="X216" s="38">
        <v>110.1</v>
      </c>
      <c r="Y216" s="38">
        <v>116.5</v>
      </c>
      <c r="Z216" s="38">
        <v>106</v>
      </c>
      <c r="AA216" s="9">
        <v>1</v>
      </c>
      <c r="AB216" s="9">
        <v>1</v>
      </c>
      <c r="AC216" s="38">
        <v>4.5488275255428645E-2</v>
      </c>
      <c r="AD216" s="38">
        <v>0</v>
      </c>
      <c r="AE216" s="9">
        <v>5.5693792315694379</v>
      </c>
      <c r="AF216" s="38">
        <v>1</v>
      </c>
      <c r="AG216" s="9">
        <v>1.0804573586488999</v>
      </c>
      <c r="AH216" s="41">
        <v>1</v>
      </c>
      <c r="AI216" s="42">
        <v>0.20207492158660231</v>
      </c>
      <c r="AJ216" s="42">
        <v>0.46076177798926682</v>
      </c>
      <c r="AK216" s="9"/>
      <c r="AM216" s="9"/>
      <c r="AN216" s="9"/>
      <c r="AO216" s="9"/>
      <c r="AP216" s="9"/>
      <c r="AQ216" s="9"/>
      <c r="AR216" s="9"/>
      <c r="AS216" s="9"/>
      <c r="AU216" s="9"/>
      <c r="AV216" s="9"/>
      <c r="AW216" s="15"/>
      <c r="AX216" s="9"/>
      <c r="BC216" s="9"/>
      <c r="BD216" s="9"/>
      <c r="BE216" s="9"/>
      <c r="BF216" s="9"/>
      <c r="BG216" s="9"/>
      <c r="BL216" s="9"/>
      <c r="BM216" s="9"/>
      <c r="BN216" s="9"/>
      <c r="BO216" s="20"/>
      <c r="BP216" s="20"/>
      <c r="BQ216" s="9"/>
      <c r="BR216" s="9"/>
      <c r="BS216" s="21"/>
      <c r="BT216" s="9"/>
      <c r="BW216" s="2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</row>
    <row r="217" spans="1:87" ht="15">
      <c r="A217" s="13">
        <v>36617</v>
      </c>
      <c r="B217" s="12">
        <v>12598.723</v>
      </c>
      <c r="C217" s="9">
        <v>0</v>
      </c>
      <c r="D217" s="24">
        <v>36467</v>
      </c>
      <c r="E217" s="12">
        <v>81.625</v>
      </c>
      <c r="F217" s="12">
        <v>87.284999999999997</v>
      </c>
      <c r="G217" s="12">
        <v>109.35899999999999</v>
      </c>
      <c r="H217" s="34">
        <v>380.7</v>
      </c>
      <c r="I217" s="34">
        <v>10331.4</v>
      </c>
      <c r="J217" s="35">
        <v>82.85</v>
      </c>
      <c r="K217" s="35">
        <v>79.814999999999998</v>
      </c>
      <c r="L217" s="35">
        <v>91.498000000000005</v>
      </c>
      <c r="M217" s="5">
        <v>3.7233728910773625</v>
      </c>
      <c r="N217" s="5">
        <v>4.4954918156180863</v>
      </c>
      <c r="O217" s="5">
        <v>0.30376036367278381</v>
      </c>
      <c r="P217" s="17">
        <v>0</v>
      </c>
      <c r="Q217" s="6">
        <v>0</v>
      </c>
      <c r="R217" s="33">
        <v>0</v>
      </c>
      <c r="S217" s="37">
        <v>0.45019999999999999</v>
      </c>
      <c r="T217" s="39">
        <v>-3.7</v>
      </c>
      <c r="U217">
        <v>0</v>
      </c>
      <c r="V217" s="9">
        <v>8.0588999999999911E-2</v>
      </c>
      <c r="W217" s="38">
        <v>0</v>
      </c>
      <c r="X217" s="38">
        <v>108.8</v>
      </c>
      <c r="Y217" s="38">
        <v>117.6</v>
      </c>
      <c r="Z217" s="38">
        <v>103.1</v>
      </c>
      <c r="AA217" s="9">
        <v>1.4</v>
      </c>
      <c r="AB217" s="9">
        <v>1</v>
      </c>
      <c r="AC217" s="38">
        <v>2.8349601895169885E-2</v>
      </c>
      <c r="AD217" s="38">
        <v>0</v>
      </c>
      <c r="AE217" s="9">
        <v>4.6131746479639801</v>
      </c>
      <c r="AF217" s="38">
        <v>1</v>
      </c>
      <c r="AG217" s="9">
        <v>1.1104192611041981</v>
      </c>
      <c r="AH217" s="41">
        <v>1</v>
      </c>
      <c r="AI217" s="42">
        <v>0.21620249979792111</v>
      </c>
      <c r="AJ217" s="42">
        <v>-2.1616290276358811E-2</v>
      </c>
      <c r="AK217" s="9"/>
      <c r="AM217" s="9"/>
      <c r="AN217" s="9"/>
      <c r="AO217" s="9"/>
      <c r="AP217" s="9"/>
      <c r="AQ217" s="9"/>
      <c r="AR217" s="9"/>
      <c r="AS217" s="9"/>
      <c r="AU217" s="9"/>
      <c r="AV217" s="9"/>
      <c r="AW217" s="15"/>
      <c r="AX217" s="9"/>
      <c r="BC217" s="9"/>
      <c r="BD217" s="9"/>
      <c r="BE217" s="9"/>
      <c r="BF217" s="9"/>
      <c r="BG217" s="9"/>
      <c r="BL217" s="9"/>
      <c r="BM217" s="9"/>
      <c r="BN217" s="9"/>
      <c r="BO217" s="20"/>
      <c r="BP217" s="20"/>
      <c r="BQ217" s="9"/>
      <c r="BR217" s="9"/>
      <c r="BS217" s="21"/>
      <c r="BT217" s="9"/>
      <c r="BW217" s="2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</row>
    <row r="218" spans="1:87" ht="15">
      <c r="A218" s="13">
        <v>36708</v>
      </c>
      <c r="B218" s="12">
        <v>12614.806</v>
      </c>
      <c r="C218" s="9">
        <v>0</v>
      </c>
      <c r="D218" s="24">
        <v>36651</v>
      </c>
      <c r="E218" s="12">
        <v>82.156000000000006</v>
      </c>
      <c r="F218" s="12">
        <v>87.290999999999997</v>
      </c>
      <c r="G218" s="12">
        <v>109.34699999999999</v>
      </c>
      <c r="H218" s="34">
        <v>376</v>
      </c>
      <c r="I218" s="34">
        <v>10475.700000000001</v>
      </c>
      <c r="J218" s="35">
        <v>83.364000000000004</v>
      </c>
      <c r="K218" s="35">
        <v>79.828999999999994</v>
      </c>
      <c r="L218" s="35">
        <v>92.484999999999999</v>
      </c>
      <c r="M218" s="5">
        <v>-1.3600406931560804</v>
      </c>
      <c r="N218" s="5">
        <v>0.37403982596029506</v>
      </c>
      <c r="O218" s="5">
        <v>0.56781270903399106</v>
      </c>
      <c r="P218" s="17">
        <v>0</v>
      </c>
      <c r="Q218" s="6">
        <v>0</v>
      </c>
      <c r="R218" s="33">
        <v>0</v>
      </c>
      <c r="S218" s="37">
        <v>9.0700000000000003E-2</v>
      </c>
      <c r="T218" s="39">
        <v>1.9</v>
      </c>
      <c r="U218">
        <v>0</v>
      </c>
      <c r="V218" s="9">
        <v>0.221557</v>
      </c>
      <c r="W218" s="38">
        <v>0</v>
      </c>
      <c r="X218" s="38">
        <v>107.5</v>
      </c>
      <c r="Y218" s="38">
        <v>112.9</v>
      </c>
      <c r="Z218" s="38">
        <v>104</v>
      </c>
      <c r="AA218" s="9">
        <v>0.3</v>
      </c>
      <c r="AB218" s="9">
        <v>1</v>
      </c>
      <c r="AC218" s="38">
        <v>1.8790394366884344E-2</v>
      </c>
      <c r="AD218" s="38">
        <v>0</v>
      </c>
      <c r="AE218" s="9">
        <v>5.0819528448032392</v>
      </c>
      <c r="AF218" s="38">
        <v>1</v>
      </c>
      <c r="AG218" s="9">
        <v>-0.10263779123474137</v>
      </c>
      <c r="AH218" s="41">
        <v>1</v>
      </c>
      <c r="AI218" s="42">
        <v>-6.0462048519948609E-2</v>
      </c>
      <c r="AJ218" s="42">
        <v>0.29829814626218348</v>
      </c>
      <c r="AK218" s="9"/>
      <c r="AM218" s="9"/>
      <c r="AN218" s="9"/>
      <c r="AO218" s="9"/>
      <c r="AP218" s="9"/>
      <c r="AQ218" s="9"/>
      <c r="AR218" s="9"/>
      <c r="AS218" s="9"/>
      <c r="AU218" s="9"/>
      <c r="AV218" s="9"/>
      <c r="AW218" s="15"/>
      <c r="AX218" s="9"/>
      <c r="BC218" s="9"/>
      <c r="BD218" s="9"/>
      <c r="BE218" s="9"/>
      <c r="BF218" s="9"/>
      <c r="BG218" s="9"/>
      <c r="BL218" s="9"/>
      <c r="BM218" s="9"/>
      <c r="BN218" s="9"/>
      <c r="BO218" s="20"/>
      <c r="BP218" s="20"/>
      <c r="BQ218" s="9"/>
      <c r="BR218" s="9"/>
      <c r="BS218" s="21"/>
      <c r="BT218" s="9"/>
      <c r="BW218" s="2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</row>
    <row r="219" spans="1:87" ht="15">
      <c r="A219" s="13">
        <v>36800</v>
      </c>
      <c r="B219" s="12">
        <v>12681.965</v>
      </c>
      <c r="C219" s="9">
        <v>0</v>
      </c>
      <c r="D219" s="24">
        <v>36948</v>
      </c>
      <c r="E219" s="12">
        <v>82.6</v>
      </c>
      <c r="F219" s="12">
        <v>87.747</v>
      </c>
      <c r="G219" s="12">
        <v>108.89</v>
      </c>
      <c r="H219" s="34">
        <v>325.60000000000002</v>
      </c>
      <c r="I219" s="34">
        <v>10513.3</v>
      </c>
      <c r="J219" s="35">
        <v>83.823999999999998</v>
      </c>
      <c r="K219" s="35">
        <v>80.582999999999998</v>
      </c>
      <c r="L219" s="35">
        <v>92.363</v>
      </c>
      <c r="M219" s="5">
        <v>1.0724899086502986</v>
      </c>
      <c r="N219" s="5">
        <v>3.2328626939898908</v>
      </c>
      <c r="O219" s="5">
        <v>0.63234848199947746</v>
      </c>
      <c r="P219" s="17">
        <v>0</v>
      </c>
      <c r="Q219" s="6">
        <v>0</v>
      </c>
      <c r="R219" s="33">
        <v>0</v>
      </c>
      <c r="S219" s="37">
        <v>-0.66269999999999996</v>
      </c>
      <c r="T219" s="39">
        <v>1.8</v>
      </c>
      <c r="U219">
        <v>0</v>
      </c>
      <c r="V219" s="9">
        <v>0.22195299999999996</v>
      </c>
      <c r="W219" s="38">
        <v>0</v>
      </c>
      <c r="X219" s="38">
        <v>103.9</v>
      </c>
      <c r="Y219" s="38">
        <v>113.7</v>
      </c>
      <c r="Z219" s="38">
        <v>97.7</v>
      </c>
      <c r="AA219" s="9">
        <v>0.2</v>
      </c>
      <c r="AB219" s="9">
        <v>1</v>
      </c>
      <c r="AC219" s="38">
        <v>3.8255933319361946E-2</v>
      </c>
      <c r="AD219" s="38">
        <v>0</v>
      </c>
      <c r="AE219" s="9">
        <v>1.0661602336906384</v>
      </c>
      <c r="AF219" s="38">
        <v>1</v>
      </c>
      <c r="AG219" s="9">
        <v>-6.1645946778995153E-2</v>
      </c>
      <c r="AH219" s="41">
        <v>1</v>
      </c>
      <c r="AI219" s="42">
        <v>0.1405532977344916</v>
      </c>
      <c r="AJ219" s="42">
        <v>5.7056145029885243E-2</v>
      </c>
      <c r="AK219" s="9"/>
      <c r="AM219" s="9"/>
      <c r="AN219" s="9"/>
      <c r="AO219" s="9"/>
      <c r="AP219" s="9"/>
      <c r="AQ219" s="9"/>
      <c r="AR219" s="9"/>
      <c r="AS219" s="9"/>
      <c r="AU219" s="9"/>
      <c r="AV219" s="9"/>
      <c r="AW219" s="15"/>
      <c r="AX219" s="9"/>
      <c r="BC219" s="9"/>
      <c r="BD219" s="9"/>
      <c r="BE219" s="9"/>
      <c r="BF219" s="9"/>
      <c r="BG219" s="9"/>
      <c r="BL219" s="9"/>
      <c r="BM219" s="9"/>
      <c r="BN219" s="9"/>
      <c r="BO219" s="20"/>
      <c r="BP219" s="20"/>
      <c r="BQ219" s="9"/>
      <c r="BR219" s="9"/>
      <c r="BS219" s="21"/>
      <c r="BT219" s="9"/>
      <c r="BW219" s="2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</row>
    <row r="220" spans="1:87" ht="15">
      <c r="A220" s="13">
        <v>36892</v>
      </c>
      <c r="B220" s="12">
        <v>12645.65</v>
      </c>
      <c r="C220" s="9">
        <v>1</v>
      </c>
      <c r="D220" s="24">
        <v>36994</v>
      </c>
      <c r="E220" s="12">
        <v>83.131</v>
      </c>
      <c r="F220" s="12">
        <v>87.338999999999999</v>
      </c>
      <c r="G220" s="12">
        <v>108.702</v>
      </c>
      <c r="H220" s="34">
        <v>358.4</v>
      </c>
      <c r="I220" s="34">
        <v>10701.8</v>
      </c>
      <c r="J220" s="35">
        <v>84.382999999999996</v>
      </c>
      <c r="K220" s="35">
        <v>80.346999999999994</v>
      </c>
      <c r="L220" s="35">
        <v>93.715000000000003</v>
      </c>
      <c r="M220" s="5">
        <v>-1.388925246867309</v>
      </c>
      <c r="N220" s="5">
        <v>0.59237254992321753</v>
      </c>
      <c r="O220" s="5">
        <v>0.81541743132050815</v>
      </c>
      <c r="P220" s="17">
        <v>0</v>
      </c>
      <c r="Q220" s="6">
        <v>0</v>
      </c>
      <c r="R220" s="33">
        <v>0</v>
      </c>
      <c r="S220" s="37">
        <v>-8.2699999999999996E-2</v>
      </c>
      <c r="T220" s="39">
        <v>-5.6</v>
      </c>
      <c r="U220">
        <v>0</v>
      </c>
      <c r="V220" s="9">
        <v>7.8610999999999986E-2</v>
      </c>
      <c r="W220" s="38">
        <v>0</v>
      </c>
      <c r="X220" s="38">
        <v>92.3</v>
      </c>
      <c r="Y220" s="38">
        <v>105.6</v>
      </c>
      <c r="Z220" s="38">
        <v>83.7</v>
      </c>
      <c r="AA220" s="9">
        <v>1.3</v>
      </c>
      <c r="AB220" s="9">
        <v>1</v>
      </c>
      <c r="AC220" s="38">
        <v>2.1055293736514269E-2</v>
      </c>
      <c r="AD220" s="38">
        <v>0</v>
      </c>
      <c r="AE220" s="9">
        <v>1.7211811872761773</v>
      </c>
      <c r="AF220" s="38">
        <v>1</v>
      </c>
      <c r="AG220" s="9">
        <v>1.4701346766731831</v>
      </c>
      <c r="AH220" s="41">
        <v>1</v>
      </c>
      <c r="AI220" s="42">
        <v>0.63733321536487675</v>
      </c>
      <c r="AJ220" s="42">
        <v>0.4659000723233897</v>
      </c>
      <c r="AK220" s="9"/>
      <c r="AM220" s="9"/>
      <c r="AN220" s="9"/>
      <c r="AO220" s="9"/>
      <c r="AP220" s="9"/>
      <c r="AQ220" s="9"/>
      <c r="AR220" s="9"/>
      <c r="AS220" s="9"/>
      <c r="AU220" s="9"/>
      <c r="AV220" s="9"/>
      <c r="AW220" s="15"/>
      <c r="AX220" s="9"/>
      <c r="BC220" s="9"/>
      <c r="BD220" s="9"/>
      <c r="BE220" s="9"/>
      <c r="BF220" s="9"/>
      <c r="BG220" s="9"/>
      <c r="BL220" s="9"/>
      <c r="BM220" s="9"/>
      <c r="BN220" s="9"/>
      <c r="BO220" s="20"/>
      <c r="BP220" s="20"/>
      <c r="BQ220" s="9"/>
      <c r="BR220" s="9"/>
      <c r="BS220" s="21"/>
      <c r="BT220" s="9"/>
      <c r="BW220" s="2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</row>
    <row r="221" spans="1:87" ht="15">
      <c r="A221" s="13">
        <v>36982</v>
      </c>
      <c r="B221" s="12">
        <v>12712.787</v>
      </c>
      <c r="C221" s="9">
        <v>1</v>
      </c>
      <c r="D221" s="24">
        <v>37360</v>
      </c>
      <c r="E221" s="12">
        <v>83.707999999999998</v>
      </c>
      <c r="F221" s="12">
        <v>87.894999999999996</v>
      </c>
      <c r="G221" s="12">
        <v>107.605</v>
      </c>
      <c r="H221" s="34">
        <v>385.7</v>
      </c>
      <c r="I221" s="34">
        <v>10757.8</v>
      </c>
      <c r="J221" s="35">
        <v>84.784999999999997</v>
      </c>
      <c r="K221" s="35">
        <v>81.683000000000007</v>
      </c>
      <c r="L221" s="35">
        <v>93.299000000000007</v>
      </c>
      <c r="M221" s="5">
        <v>1.6280639968793116</v>
      </c>
      <c r="N221" s="5">
        <v>3.0125467824393586</v>
      </c>
      <c r="O221" s="5">
        <v>0.55926785971179804</v>
      </c>
      <c r="P221" s="17">
        <v>0</v>
      </c>
      <c r="Q221" s="18">
        <v>0.5</v>
      </c>
      <c r="R221" s="33">
        <v>0</v>
      </c>
      <c r="S221" s="37">
        <v>0.26179999999999998</v>
      </c>
      <c r="T221" s="39">
        <v>0</v>
      </c>
      <c r="U221">
        <v>0</v>
      </c>
      <c r="V221" s="9">
        <v>-4.0250999999999815E-2</v>
      </c>
      <c r="W221" s="38">
        <v>0</v>
      </c>
      <c r="X221" s="38">
        <v>91</v>
      </c>
      <c r="Y221" s="38">
        <v>100.6</v>
      </c>
      <c r="Z221" s="38">
        <v>84.8</v>
      </c>
      <c r="AA221" s="9">
        <v>0.7</v>
      </c>
      <c r="AB221" s="9">
        <v>1</v>
      </c>
      <c r="AC221" s="38">
        <v>1.0162042123265325E-2</v>
      </c>
      <c r="AD221" s="38">
        <v>0</v>
      </c>
      <c r="AE221" s="9">
        <v>0.57831053607491079</v>
      </c>
      <c r="AF221" s="38">
        <v>1</v>
      </c>
      <c r="AG221" s="9">
        <v>0.13171225937182385</v>
      </c>
      <c r="AH221" s="41">
        <v>1</v>
      </c>
      <c r="AI221" s="42">
        <v>0.7194808238378797</v>
      </c>
      <c r="AJ221" s="42">
        <v>0.68034897666184491</v>
      </c>
      <c r="AK221" s="9"/>
      <c r="AM221" s="9"/>
      <c r="AN221" s="9"/>
      <c r="AO221" s="9"/>
      <c r="AP221" s="9"/>
      <c r="AQ221" s="9"/>
      <c r="AR221" s="9"/>
      <c r="AS221" s="9"/>
      <c r="AU221" s="9"/>
      <c r="AV221" s="9"/>
      <c r="AW221" s="15"/>
      <c r="AX221" s="9"/>
      <c r="BC221" s="9"/>
      <c r="BD221" s="9"/>
      <c r="BE221" s="9"/>
      <c r="BF221" s="9"/>
      <c r="BG221" s="9"/>
      <c r="BL221" s="9"/>
      <c r="BM221" s="9"/>
      <c r="BN221" s="9"/>
      <c r="BO221" s="20"/>
      <c r="BP221" s="20"/>
      <c r="BQ221" s="9"/>
      <c r="BR221" s="9"/>
      <c r="BS221" s="21"/>
      <c r="BT221" s="9"/>
      <c r="BW221" s="2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</row>
    <row r="222" spans="1:87" ht="15">
      <c r="A222" s="13">
        <v>37073</v>
      </c>
      <c r="B222" s="12">
        <v>12674.114</v>
      </c>
      <c r="C222" s="9">
        <v>1</v>
      </c>
      <c r="D222" s="24">
        <v>37272</v>
      </c>
      <c r="E222" s="12">
        <v>83.984999999999999</v>
      </c>
      <c r="F222" s="12">
        <v>87.433999999999997</v>
      </c>
      <c r="G222" s="12">
        <v>106.438</v>
      </c>
      <c r="H222" s="34">
        <v>400</v>
      </c>
      <c r="I222" s="34">
        <v>10754.6</v>
      </c>
      <c r="J222" s="35">
        <v>84.850999999999999</v>
      </c>
      <c r="K222" s="35">
        <v>82.146000000000001</v>
      </c>
      <c r="L222" s="35">
        <v>93.144999999999996</v>
      </c>
      <c r="M222" s="5">
        <v>-1.685025464262087</v>
      </c>
      <c r="N222" s="5">
        <v>-0.98098455518461569</v>
      </c>
      <c r="O222" s="5">
        <v>-1.1050850496562665</v>
      </c>
      <c r="P222" s="17">
        <v>0</v>
      </c>
      <c r="Q222" s="18">
        <v>0.5</v>
      </c>
      <c r="R222" s="33">
        <v>0</v>
      </c>
      <c r="S222" s="37">
        <v>0.59519999999999995</v>
      </c>
      <c r="T222" s="39">
        <v>0</v>
      </c>
      <c r="U222">
        <v>9.4260872676311547E-3</v>
      </c>
      <c r="V222" s="9">
        <v>0.14335599999999982</v>
      </c>
      <c r="W222" s="38">
        <v>0</v>
      </c>
      <c r="X222" s="38">
        <v>88.5</v>
      </c>
      <c r="Y222" s="38">
        <v>98.1</v>
      </c>
      <c r="Z222" s="38">
        <v>82.4</v>
      </c>
      <c r="AA222" s="9">
        <v>0.5</v>
      </c>
      <c r="AB222" s="9">
        <v>1</v>
      </c>
      <c r="AC222" s="38">
        <v>7.2295404188720269E-3</v>
      </c>
      <c r="AD222" s="38">
        <v>0</v>
      </c>
      <c r="AE222" s="9">
        <v>-0.60060907775500993</v>
      </c>
      <c r="AF222" s="38">
        <v>1</v>
      </c>
      <c r="AG222" s="9">
        <v>-0.3136699382778545</v>
      </c>
      <c r="AH222" s="41">
        <v>1</v>
      </c>
      <c r="AI222" s="42">
        <v>0.54241223705722508</v>
      </c>
      <c r="AJ222" s="42">
        <v>0.45988845978056458</v>
      </c>
      <c r="AK222" s="9"/>
      <c r="AM222" s="9"/>
      <c r="AN222" s="9"/>
      <c r="AO222" s="9"/>
      <c r="AP222" s="9"/>
      <c r="AQ222" s="9"/>
      <c r="AR222" s="9"/>
      <c r="AS222" s="9"/>
      <c r="AU222" s="9"/>
      <c r="AV222" s="9"/>
      <c r="AW222" s="15"/>
      <c r="AX222" s="9"/>
      <c r="BC222" s="9"/>
      <c r="BD222" s="9"/>
      <c r="BE222" s="9"/>
      <c r="BF222" s="9"/>
      <c r="BG222" s="9"/>
      <c r="BL222" s="9"/>
      <c r="BM222" s="9"/>
      <c r="BN222" s="9"/>
      <c r="BO222" s="20"/>
      <c r="BP222" s="20"/>
      <c r="BQ222" s="9"/>
      <c r="BR222" s="9"/>
      <c r="BS222" s="21"/>
      <c r="BT222" s="9"/>
      <c r="BW222" s="2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</row>
    <row r="223" spans="1:87" ht="15">
      <c r="A223" s="13">
        <v>37165</v>
      </c>
      <c r="B223" s="12">
        <v>12705.159</v>
      </c>
      <c r="C223" s="9">
        <v>1</v>
      </c>
      <c r="D223" s="24">
        <v>37381</v>
      </c>
      <c r="E223" s="12">
        <v>84.239000000000004</v>
      </c>
      <c r="F223" s="12">
        <v>87.472999999999999</v>
      </c>
      <c r="G223" s="12">
        <v>105.227</v>
      </c>
      <c r="H223" s="34">
        <v>377.3</v>
      </c>
      <c r="I223" s="34">
        <v>10733</v>
      </c>
      <c r="J223" s="35">
        <v>84.908000000000001</v>
      </c>
      <c r="K223" s="35">
        <v>83.128</v>
      </c>
      <c r="L223" s="35">
        <v>94.066999999999993</v>
      </c>
      <c r="M223" s="5">
        <v>0.94289686606730605</v>
      </c>
      <c r="N223" s="5">
        <v>1.1833596409042761</v>
      </c>
      <c r="O223" s="5">
        <v>7.5599614632699277E-2</v>
      </c>
      <c r="P223" s="17">
        <v>0</v>
      </c>
      <c r="Q223" s="18">
        <v>0.5</v>
      </c>
      <c r="R223" s="33">
        <v>0</v>
      </c>
      <c r="S223" s="37">
        <v>-0.1295</v>
      </c>
      <c r="T223" s="39">
        <v>-7.1</v>
      </c>
      <c r="U223">
        <v>0</v>
      </c>
      <c r="V223" s="9">
        <v>-3.1822999999999935E-2</v>
      </c>
      <c r="W223" s="38">
        <v>0</v>
      </c>
      <c r="X223" s="38">
        <v>85.1</v>
      </c>
      <c r="Y223" s="38">
        <v>96.1</v>
      </c>
      <c r="Z223" s="38">
        <v>78.099999999999994</v>
      </c>
      <c r="AA223" s="9">
        <v>0.4</v>
      </c>
      <c r="AB223" s="9">
        <v>1</v>
      </c>
      <c r="AC223" s="38">
        <v>-1.8207570864498868E-2</v>
      </c>
      <c r="AD223" s="38">
        <v>0</v>
      </c>
      <c r="AE223" s="9">
        <v>3.468870656260048</v>
      </c>
      <c r="AF223" s="38">
        <v>1</v>
      </c>
      <c r="AG223" s="9">
        <v>0.19285424279334507</v>
      </c>
      <c r="AH223" s="41">
        <v>1</v>
      </c>
      <c r="AI223" s="42">
        <v>0.29108347704273763</v>
      </c>
      <c r="AJ223" s="42">
        <v>0.35331269171528318</v>
      </c>
      <c r="AK223" s="9"/>
      <c r="AM223" s="9"/>
      <c r="AN223" s="9"/>
      <c r="AO223" s="9"/>
      <c r="AP223" s="9"/>
      <c r="AQ223" s="9"/>
      <c r="AR223" s="9"/>
      <c r="AS223" s="9"/>
      <c r="AU223" s="9"/>
      <c r="AV223" s="9"/>
      <c r="AW223" s="15"/>
      <c r="AX223" s="9"/>
      <c r="BC223" s="9"/>
      <c r="BD223" s="9"/>
      <c r="BE223" s="9"/>
      <c r="BF223" s="9"/>
      <c r="BG223" s="9"/>
      <c r="BL223" s="9"/>
      <c r="BM223" s="9"/>
      <c r="BN223" s="9"/>
      <c r="BO223" s="20"/>
      <c r="BP223" s="20"/>
      <c r="BQ223" s="9"/>
      <c r="BR223" s="9"/>
      <c r="BS223" s="21"/>
      <c r="BT223" s="9"/>
      <c r="BW223" s="2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</row>
    <row r="224" spans="1:87" ht="15">
      <c r="A224" s="13">
        <v>37257</v>
      </c>
      <c r="B224" s="12">
        <v>12824.602999999999</v>
      </c>
      <c r="C224" s="9">
        <v>0</v>
      </c>
      <c r="D224" s="24">
        <v>37769</v>
      </c>
      <c r="E224" s="12">
        <v>84.504000000000005</v>
      </c>
      <c r="F224" s="12">
        <v>88.668999999999997</v>
      </c>
      <c r="G224" s="12">
        <v>104.283</v>
      </c>
      <c r="H224" s="34">
        <v>511.9</v>
      </c>
      <c r="I224" s="34">
        <v>10906.6</v>
      </c>
      <c r="J224" s="35">
        <v>85.063999999999993</v>
      </c>
      <c r="K224" s="35">
        <v>85.027000000000001</v>
      </c>
      <c r="L224" s="35">
        <v>94.23</v>
      </c>
      <c r="M224" s="5">
        <v>6.6689049154762623</v>
      </c>
      <c r="N224" s="5">
        <v>6.7778295135090101</v>
      </c>
      <c r="O224" s="5">
        <v>-1.7208539792449167</v>
      </c>
      <c r="P224" s="17">
        <v>0</v>
      </c>
      <c r="Q224" s="18">
        <v>0.5</v>
      </c>
      <c r="R224" s="33">
        <v>0</v>
      </c>
      <c r="S224" s="37">
        <v>0.34839999999999999</v>
      </c>
      <c r="T224" s="39">
        <v>-5.7</v>
      </c>
      <c r="U224">
        <v>2.8564326670855972E-2</v>
      </c>
      <c r="V224" s="9">
        <v>0.16769199999999995</v>
      </c>
      <c r="W224" s="38">
        <v>-0.79742192700000003</v>
      </c>
      <c r="X224" s="38">
        <v>93.1</v>
      </c>
      <c r="Y224" s="38">
        <v>97.4</v>
      </c>
      <c r="Z224" s="38">
        <v>90.4</v>
      </c>
      <c r="AA224" s="9">
        <v>0.4</v>
      </c>
      <c r="AB224" s="9">
        <v>1</v>
      </c>
      <c r="AC224" s="38">
        <v>2.63303610274499E-2</v>
      </c>
      <c r="AD224" s="38">
        <v>0</v>
      </c>
      <c r="AE224" s="9">
        <v>4.9553278827997094</v>
      </c>
      <c r="AF224" s="38">
        <v>1</v>
      </c>
      <c r="AG224" s="9">
        <v>-0.35457400466010824</v>
      </c>
      <c r="AH224" s="41">
        <v>1</v>
      </c>
      <c r="AI224" s="42">
        <v>0.2017726174301428</v>
      </c>
      <c r="AJ224" s="42">
        <v>0.20754739725880511</v>
      </c>
      <c r="AK224" s="9"/>
      <c r="AM224" s="9"/>
      <c r="AN224" s="9"/>
      <c r="AO224" s="9"/>
      <c r="AP224" s="9"/>
      <c r="AQ224" s="9"/>
      <c r="AR224" s="9"/>
      <c r="AS224" s="9"/>
      <c r="AU224" s="9"/>
      <c r="AV224" s="9"/>
      <c r="AW224" s="15"/>
      <c r="AX224" s="9"/>
      <c r="BC224" s="9"/>
      <c r="BD224" s="9"/>
      <c r="BE224" s="9"/>
      <c r="BF224" s="9"/>
      <c r="BG224" s="9"/>
      <c r="BL224" s="9"/>
      <c r="BM224" s="9"/>
      <c r="BN224" s="9"/>
      <c r="BO224" s="20"/>
      <c r="BP224" s="20"/>
      <c r="BQ224" s="9"/>
      <c r="BR224" s="9"/>
      <c r="BS224" s="21"/>
      <c r="BT224" s="9"/>
      <c r="BW224" s="2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</row>
    <row r="225" spans="1:87" ht="15">
      <c r="A225" s="13">
        <v>37347</v>
      </c>
      <c r="B225" s="12">
        <v>12894.675999999999</v>
      </c>
      <c r="C225" s="9">
        <v>0</v>
      </c>
      <c r="D225" s="24">
        <v>38035</v>
      </c>
      <c r="E225" s="12">
        <v>84.825999999999993</v>
      </c>
      <c r="F225" s="12">
        <v>88.97</v>
      </c>
      <c r="G225" s="12">
        <v>104.56399999999999</v>
      </c>
      <c r="H225" s="34">
        <v>548.29999999999995</v>
      </c>
      <c r="I225" s="34">
        <v>11014.4</v>
      </c>
      <c r="J225" s="35">
        <v>85.721000000000004</v>
      </c>
      <c r="K225" s="35">
        <v>85.087000000000003</v>
      </c>
      <c r="L225" s="35">
        <v>94.319000000000003</v>
      </c>
      <c r="M225" s="5">
        <v>-0.1822004673512958</v>
      </c>
      <c r="N225" s="5">
        <v>1.6529641416234114E-2</v>
      </c>
      <c r="O225" s="5">
        <v>-1.9876138912060266</v>
      </c>
      <c r="P225" s="17">
        <v>0</v>
      </c>
      <c r="Q225" s="18">
        <v>0.5</v>
      </c>
      <c r="R225" s="33">
        <v>0</v>
      </c>
      <c r="S225" s="37">
        <v>-1.4882</v>
      </c>
      <c r="T225" s="39">
        <v>0</v>
      </c>
      <c r="U225">
        <v>0</v>
      </c>
      <c r="V225" s="9">
        <v>0.19162900000000005</v>
      </c>
      <c r="W225" s="38">
        <v>0</v>
      </c>
      <c r="X225" s="38">
        <v>94.1</v>
      </c>
      <c r="Y225" s="38">
        <v>100.7</v>
      </c>
      <c r="Z225" s="38">
        <v>89.9</v>
      </c>
      <c r="AA225" s="9">
        <v>0.8</v>
      </c>
      <c r="AB225" s="9">
        <v>1</v>
      </c>
      <c r="AC225" s="38">
        <v>2.0343658125424602E-2</v>
      </c>
      <c r="AD225" s="38">
        <v>0</v>
      </c>
      <c r="AE225" s="9">
        <v>2.371875493061526</v>
      </c>
      <c r="AF225" s="38">
        <v>1</v>
      </c>
      <c r="AG225" s="9">
        <v>0.29483529890200089</v>
      </c>
      <c r="AH225" s="41">
        <v>1</v>
      </c>
      <c r="AI225" s="42">
        <v>0.6108382289451042</v>
      </c>
      <c r="AJ225" s="42">
        <v>0.2495477853419194</v>
      </c>
      <c r="AK225" s="9"/>
      <c r="AM225" s="9"/>
      <c r="AN225" s="9"/>
      <c r="AO225" s="9"/>
      <c r="AP225" s="9"/>
      <c r="AQ225" s="9"/>
      <c r="AR225" s="9"/>
      <c r="AS225" s="9"/>
      <c r="AU225" s="9"/>
      <c r="AV225" s="9"/>
      <c r="AW225" s="15"/>
      <c r="AX225" s="9"/>
      <c r="BC225" s="9"/>
      <c r="BD225" s="9"/>
      <c r="BE225" s="9"/>
      <c r="BF225" s="9"/>
      <c r="BG225" s="9"/>
      <c r="BL225" s="9"/>
      <c r="BM225" s="9"/>
      <c r="BN225" s="9"/>
      <c r="BO225" s="20"/>
      <c r="BP225" s="20"/>
      <c r="BQ225" s="9"/>
      <c r="BR225" s="9"/>
      <c r="BS225" s="21"/>
      <c r="BT225" s="9"/>
      <c r="BW225" s="2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</row>
    <row r="226" spans="1:87" ht="15">
      <c r="A226" s="13">
        <v>37438</v>
      </c>
      <c r="B226" s="12">
        <v>12956.671</v>
      </c>
      <c r="C226" s="9">
        <v>0</v>
      </c>
      <c r="D226" s="24">
        <v>38292</v>
      </c>
      <c r="E226" s="12">
        <v>85.206000000000003</v>
      </c>
      <c r="F226" s="12">
        <v>89.367999999999995</v>
      </c>
      <c r="G226" s="12">
        <v>104.235</v>
      </c>
      <c r="H226" s="34">
        <v>558.9</v>
      </c>
      <c r="I226" s="34">
        <v>11077.9</v>
      </c>
      <c r="J226" s="35">
        <v>86.155000000000001</v>
      </c>
      <c r="K226" s="35">
        <v>85.736999999999995</v>
      </c>
      <c r="L226" s="35">
        <v>94.275999999999996</v>
      </c>
      <c r="M226" s="5">
        <v>0.95072347714174343</v>
      </c>
      <c r="N226" s="5">
        <v>1.215398048367613</v>
      </c>
      <c r="O226" s="5">
        <v>-1.9993638545997874</v>
      </c>
      <c r="P226" s="17">
        <v>0</v>
      </c>
      <c r="Q226" s="18">
        <v>0.5</v>
      </c>
      <c r="R226" s="33">
        <v>0</v>
      </c>
      <c r="S226" s="37">
        <v>0.27689999999999998</v>
      </c>
      <c r="T226" s="39">
        <v>5.6</v>
      </c>
      <c r="U226">
        <v>8.772081102004177E-3</v>
      </c>
      <c r="V226" s="9">
        <v>2.3111000000000104E-2</v>
      </c>
      <c r="W226" s="38">
        <v>0</v>
      </c>
      <c r="X226" s="38">
        <v>87.3</v>
      </c>
      <c r="Y226" s="38">
        <v>97.8</v>
      </c>
      <c r="Z226" s="38">
        <v>80.5</v>
      </c>
      <c r="AA226" s="9">
        <v>0.8</v>
      </c>
      <c r="AB226" s="9">
        <v>1</v>
      </c>
      <c r="AC226" s="38">
        <v>1.0146545428516562E-2</v>
      </c>
      <c r="AD226" s="38">
        <v>0</v>
      </c>
      <c r="AE226" s="9">
        <v>3.6214478071740164</v>
      </c>
      <c r="AF226" s="38">
        <v>1</v>
      </c>
      <c r="AG226" s="9">
        <v>0.38520020273693945</v>
      </c>
      <c r="AH226" s="41">
        <v>1</v>
      </c>
      <c r="AI226" s="42">
        <v>1.0635934569660199</v>
      </c>
      <c r="AJ226" s="42">
        <v>0.7820631548900685</v>
      </c>
      <c r="AK226" s="9"/>
      <c r="AM226" s="9"/>
      <c r="AN226" s="9"/>
      <c r="AO226" s="9"/>
      <c r="AP226" s="9"/>
      <c r="AQ226" s="9"/>
      <c r="AR226" s="9"/>
      <c r="AS226" s="9"/>
      <c r="AU226" s="9"/>
      <c r="AV226" s="9"/>
      <c r="AW226" s="15"/>
      <c r="AX226" s="9"/>
      <c r="BC226" s="9"/>
      <c r="BD226" s="9"/>
      <c r="BE226" s="9"/>
      <c r="BF226" s="9"/>
      <c r="BG226" s="9"/>
      <c r="BL226" s="9"/>
      <c r="BM226" s="9"/>
      <c r="BN226" s="9"/>
      <c r="BO226" s="20"/>
      <c r="BP226" s="20"/>
      <c r="BQ226" s="9"/>
      <c r="BR226" s="9"/>
      <c r="BS226" s="21"/>
      <c r="BT226" s="9"/>
      <c r="BW226" s="2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</row>
    <row r="227" spans="1:87" ht="15">
      <c r="A227" s="13">
        <v>37530</v>
      </c>
      <c r="B227" s="12">
        <v>12962.92</v>
      </c>
      <c r="C227" s="9">
        <v>0</v>
      </c>
      <c r="D227" s="24">
        <v>38427</v>
      </c>
      <c r="E227" s="12">
        <v>85.673000000000002</v>
      </c>
      <c r="F227" s="12">
        <v>89.298000000000002</v>
      </c>
      <c r="G227" s="12">
        <v>104.345</v>
      </c>
      <c r="H227" s="34">
        <v>605.20000000000005</v>
      </c>
      <c r="I227" s="34">
        <v>11202.2</v>
      </c>
      <c r="J227" s="35">
        <v>86.548000000000002</v>
      </c>
      <c r="K227" s="35">
        <v>85.58</v>
      </c>
      <c r="L227" s="35">
        <v>93.936999999999998</v>
      </c>
      <c r="M227" s="5">
        <v>5.9261957926672049E-3</v>
      </c>
      <c r="N227" s="5">
        <v>0.10195216992053781</v>
      </c>
      <c r="O227" s="5">
        <v>-2.0134195978627063</v>
      </c>
      <c r="P227" s="17">
        <v>0</v>
      </c>
      <c r="Q227" s="18">
        <v>0.5</v>
      </c>
      <c r="R227" s="33">
        <v>0</v>
      </c>
      <c r="S227" s="37">
        <v>-0.31850000000000001</v>
      </c>
      <c r="T227" s="39">
        <v>5.6</v>
      </c>
      <c r="U227">
        <v>0</v>
      </c>
      <c r="V227" s="9">
        <v>-0.10796000000000006</v>
      </c>
      <c r="W227" s="38">
        <v>0</v>
      </c>
      <c r="X227" s="38">
        <v>83.8</v>
      </c>
      <c r="Y227" s="38">
        <v>93.8</v>
      </c>
      <c r="Z227" s="38">
        <v>77.400000000000006</v>
      </c>
      <c r="AA227" s="9">
        <v>0.9</v>
      </c>
      <c r="AB227" s="9">
        <v>1</v>
      </c>
      <c r="AC227" s="38">
        <v>-3.6817850329446955E-3</v>
      </c>
      <c r="AD227" s="38">
        <v>0</v>
      </c>
      <c r="AE227" s="9">
        <v>3.0241781235153864</v>
      </c>
      <c r="AF227" s="38">
        <v>1</v>
      </c>
      <c r="AG227" s="9">
        <v>-0.1918610522064057</v>
      </c>
      <c r="AH227" s="41">
        <v>1</v>
      </c>
      <c r="AI227" s="42">
        <v>1.077885799523735</v>
      </c>
      <c r="AJ227" s="42">
        <v>0.9026512018325753</v>
      </c>
      <c r="AK227" s="9"/>
      <c r="AM227" s="9"/>
      <c r="AN227" s="9"/>
      <c r="AO227" s="9"/>
      <c r="AP227" s="9"/>
      <c r="AQ227" s="9"/>
      <c r="AR227" s="9"/>
      <c r="AS227" s="9"/>
      <c r="AU227" s="9"/>
      <c r="AV227" s="9"/>
      <c r="AW227" s="15"/>
      <c r="AX227" s="9"/>
      <c r="BC227" s="9"/>
      <c r="BD227" s="9"/>
      <c r="BE227" s="9"/>
      <c r="BF227" s="9"/>
      <c r="BG227" s="9"/>
      <c r="BL227" s="9"/>
      <c r="BM227" s="9"/>
      <c r="BN227" s="9"/>
      <c r="BO227" s="20"/>
      <c r="BP227" s="20"/>
      <c r="BQ227" s="9"/>
      <c r="BR227" s="9"/>
      <c r="BS227" s="21"/>
      <c r="BT227" s="9"/>
      <c r="BW227" s="2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</row>
    <row r="228" spans="1:87" ht="15">
      <c r="A228" s="13">
        <v>37622</v>
      </c>
      <c r="B228" s="12">
        <v>13028.597</v>
      </c>
      <c r="C228" s="9">
        <v>0</v>
      </c>
      <c r="D228" s="24">
        <v>38779</v>
      </c>
      <c r="E228" s="12">
        <v>86.200999999999993</v>
      </c>
      <c r="F228" s="12">
        <v>90.149000000000001</v>
      </c>
      <c r="G228" s="12">
        <v>103.797</v>
      </c>
      <c r="H228" s="34">
        <v>606.4</v>
      </c>
      <c r="I228" s="34">
        <v>11289.1</v>
      </c>
      <c r="J228" s="35">
        <v>87.16</v>
      </c>
      <c r="K228" s="35">
        <v>86.850999999999999</v>
      </c>
      <c r="L228" s="35">
        <v>93.585999999999999</v>
      </c>
      <c r="M228" s="5">
        <v>3.8509328689477074</v>
      </c>
      <c r="N228" s="5">
        <v>3.5141032486017769</v>
      </c>
      <c r="O228" s="5">
        <v>-1.9222562113567476</v>
      </c>
      <c r="P228" s="17">
        <v>0</v>
      </c>
      <c r="Q228" s="18">
        <v>0.5</v>
      </c>
      <c r="R228" s="33">
        <v>0</v>
      </c>
      <c r="S228" s="37">
        <v>-1.0918000000000001</v>
      </c>
      <c r="T228" s="39">
        <v>5.3</v>
      </c>
      <c r="U228">
        <v>1.1498125973944439E-2</v>
      </c>
      <c r="V228" s="9">
        <v>-0.12136600000000008</v>
      </c>
      <c r="W228" s="38">
        <v>0</v>
      </c>
      <c r="X228" s="38">
        <v>80</v>
      </c>
      <c r="Y228" s="38">
        <v>94.2</v>
      </c>
      <c r="Z228" s="38">
        <v>70.8</v>
      </c>
      <c r="AA228" s="9">
        <v>0.6</v>
      </c>
      <c r="AB228" s="9">
        <v>1</v>
      </c>
      <c r="AC228" s="38">
        <v>9.982311028885249E-3</v>
      </c>
      <c r="AD228" s="38">
        <v>0</v>
      </c>
      <c r="AE228" s="9">
        <v>1.7434108709982965</v>
      </c>
      <c r="AF228" s="38">
        <v>1</v>
      </c>
      <c r="AG228" s="9">
        <v>-0.77903682719548328</v>
      </c>
      <c r="AH228" s="41">
        <v>1</v>
      </c>
      <c r="AI228" s="42">
        <v>0.79583028897896158</v>
      </c>
      <c r="AJ228" s="42">
        <v>0.83802493372399256</v>
      </c>
      <c r="AK228" s="9"/>
      <c r="AM228" s="9"/>
      <c r="AN228" s="9"/>
      <c r="AO228" s="9"/>
      <c r="AP228" s="9"/>
      <c r="AQ228" s="9"/>
      <c r="AR228" s="9"/>
      <c r="AS228" s="9"/>
      <c r="AU228" s="9"/>
      <c r="AV228" s="9"/>
      <c r="AW228" s="15"/>
      <c r="AX228" s="9"/>
      <c r="BC228" s="9"/>
      <c r="BD228" s="9"/>
      <c r="BE228" s="9"/>
      <c r="BF228" s="9"/>
      <c r="BG228" s="9"/>
      <c r="BL228" s="9"/>
      <c r="BM228" s="9"/>
      <c r="BN228" s="9"/>
      <c r="BO228" s="20"/>
      <c r="BP228" s="20"/>
      <c r="BQ228" s="9"/>
      <c r="BR228" s="9"/>
      <c r="BS228" s="21"/>
      <c r="BT228" s="9"/>
      <c r="BW228" s="2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</row>
    <row r="229" spans="1:87" ht="15">
      <c r="A229" s="13">
        <v>37712</v>
      </c>
      <c r="B229" s="12">
        <v>13151.812</v>
      </c>
      <c r="C229" s="9">
        <v>0</v>
      </c>
      <c r="D229" s="24">
        <v>39177</v>
      </c>
      <c r="E229" s="12">
        <v>86.462000000000003</v>
      </c>
      <c r="F229" s="12">
        <v>91.501000000000005</v>
      </c>
      <c r="G229" s="12">
        <v>103.501</v>
      </c>
      <c r="H229" s="34">
        <v>641.79999999999995</v>
      </c>
      <c r="I229" s="34">
        <v>11430.7</v>
      </c>
      <c r="J229" s="35">
        <v>87.236999999999995</v>
      </c>
      <c r="K229" s="35">
        <v>88.406000000000006</v>
      </c>
      <c r="L229" s="35">
        <v>95.403000000000006</v>
      </c>
      <c r="M229" s="5">
        <v>6.1027130064867707</v>
      </c>
      <c r="N229" s="5">
        <v>5.2556768887156151</v>
      </c>
      <c r="O229" s="5">
        <v>-2.5374993831163573</v>
      </c>
      <c r="P229" s="17">
        <v>0</v>
      </c>
      <c r="Q229" s="6">
        <v>0</v>
      </c>
      <c r="R229" s="33">
        <v>0</v>
      </c>
      <c r="S229" s="37">
        <v>-0.56540000000000001</v>
      </c>
      <c r="T229" s="39">
        <v>3.7</v>
      </c>
      <c r="U229">
        <v>0</v>
      </c>
      <c r="V229" s="9">
        <v>-2.6945999999999914E-2</v>
      </c>
      <c r="W229" s="38">
        <v>0</v>
      </c>
      <c r="X229" s="38">
        <v>89.3</v>
      </c>
      <c r="Y229" s="38">
        <v>94.8</v>
      </c>
      <c r="Z229" s="38">
        <v>85.7</v>
      </c>
      <c r="AA229" s="9">
        <v>1.2</v>
      </c>
      <c r="AB229" s="9">
        <v>1</v>
      </c>
      <c r="AC229" s="38">
        <v>-5.2716612886538616E-4</v>
      </c>
      <c r="AD229" s="38">
        <v>0</v>
      </c>
      <c r="AE229" s="9">
        <v>-0.50788960013138373</v>
      </c>
      <c r="AF229" s="38">
        <v>1</v>
      </c>
      <c r="AG229" s="9">
        <v>-9.1771183848265991E-2</v>
      </c>
      <c r="AH229" s="41">
        <v>1</v>
      </c>
      <c r="AI229" s="42">
        <v>0.66052974697232736</v>
      </c>
      <c r="AJ229" s="42">
        <v>0.60876909833503268</v>
      </c>
      <c r="AK229" s="9"/>
      <c r="AM229" s="9"/>
      <c r="AN229" s="9"/>
      <c r="AO229" s="9"/>
      <c r="AP229" s="9"/>
      <c r="AQ229" s="9"/>
      <c r="AR229" s="9"/>
      <c r="AS229" s="9"/>
      <c r="AU229" s="9"/>
      <c r="AV229" s="9"/>
      <c r="AW229" s="15"/>
      <c r="AX229" s="9"/>
      <c r="BC229" s="9"/>
      <c r="BD229" s="9"/>
      <c r="BE229" s="9"/>
      <c r="BF229" s="9"/>
      <c r="BG229" s="9"/>
      <c r="BL229" s="9"/>
      <c r="BM229" s="9"/>
      <c r="BN229" s="9"/>
      <c r="BO229" s="20"/>
      <c r="BP229" s="20"/>
      <c r="BQ229" s="9"/>
      <c r="BR229" s="9"/>
      <c r="BS229" s="21"/>
      <c r="BT229" s="9"/>
      <c r="BW229" s="2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</row>
    <row r="230" spans="1:87" ht="15">
      <c r="A230" s="13">
        <v>37803</v>
      </c>
      <c r="B230" s="12">
        <v>13374.049000000001</v>
      </c>
      <c r="C230" s="9">
        <v>0</v>
      </c>
      <c r="D230" s="24">
        <v>39964</v>
      </c>
      <c r="E230" s="12">
        <v>86.947000000000003</v>
      </c>
      <c r="F230" s="12">
        <v>93.843000000000004</v>
      </c>
      <c r="G230" s="12">
        <v>103.642</v>
      </c>
      <c r="H230" s="34">
        <v>664.8</v>
      </c>
      <c r="I230" s="34">
        <v>11604</v>
      </c>
      <c r="J230" s="35">
        <v>87.77</v>
      </c>
      <c r="K230" s="35">
        <v>90.546000000000006</v>
      </c>
      <c r="L230" s="35">
        <v>96.099000000000004</v>
      </c>
      <c r="M230" s="5">
        <v>5.6137511740104706</v>
      </c>
      <c r="N230" s="5">
        <v>4.4807339005998692</v>
      </c>
      <c r="O230" s="5">
        <v>-3.4779727951260728</v>
      </c>
      <c r="P230" s="17">
        <v>0</v>
      </c>
      <c r="Q230" s="6">
        <v>0</v>
      </c>
      <c r="R230" s="33">
        <v>0</v>
      </c>
      <c r="S230" s="37">
        <v>-0.2883</v>
      </c>
      <c r="T230" s="39">
        <v>14.5</v>
      </c>
      <c r="U230">
        <v>3.7233680565783942E-3</v>
      </c>
      <c r="V230" s="9">
        <v>-1.9443000000000099E-2</v>
      </c>
      <c r="W230" s="38">
        <v>-1.140166515</v>
      </c>
      <c r="X230" s="38">
        <v>89.3</v>
      </c>
      <c r="Y230" s="38">
        <v>100.1</v>
      </c>
      <c r="Z230" s="38">
        <v>82.3</v>
      </c>
      <c r="AA230" s="9">
        <v>1.2</v>
      </c>
      <c r="AB230" s="9">
        <v>1</v>
      </c>
      <c r="AC230" s="38">
        <v>2.726643378878002E-2</v>
      </c>
      <c r="AD230" s="38">
        <v>0</v>
      </c>
      <c r="AE230" s="9">
        <v>1.2608809275548527</v>
      </c>
      <c r="AF230" s="38">
        <v>1</v>
      </c>
      <c r="AG230" s="9">
        <v>0.47968973259848724</v>
      </c>
      <c r="AH230" s="41">
        <v>1</v>
      </c>
      <c r="AI230" s="42">
        <v>0.58743107898111702</v>
      </c>
      <c r="AJ230" s="42">
        <v>0.39584798607422778</v>
      </c>
      <c r="AK230" s="9"/>
      <c r="AM230" s="9"/>
      <c r="AN230" s="9"/>
      <c r="AO230" s="9"/>
      <c r="AP230" s="9"/>
      <c r="AQ230" s="9"/>
      <c r="AR230" s="9"/>
      <c r="AS230" s="9"/>
      <c r="AU230" s="9"/>
      <c r="AV230" s="9"/>
      <c r="AW230" s="15"/>
      <c r="AX230" s="9"/>
      <c r="BC230" s="9"/>
      <c r="BD230" s="9"/>
      <c r="BE230" s="9"/>
      <c r="BF230" s="9"/>
      <c r="BG230" s="9"/>
      <c r="BL230" s="9"/>
      <c r="BM230" s="9"/>
      <c r="BN230" s="9"/>
      <c r="BO230" s="20"/>
      <c r="BP230" s="20"/>
      <c r="BQ230" s="9"/>
      <c r="BR230" s="9"/>
      <c r="BS230" s="21"/>
      <c r="BT230" s="9"/>
      <c r="BW230" s="2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</row>
    <row r="231" spans="1:87" ht="15">
      <c r="A231" s="13">
        <v>37895</v>
      </c>
      <c r="B231" s="12">
        <v>13525.715</v>
      </c>
      <c r="C231" s="9">
        <v>0</v>
      </c>
      <c r="D231" s="24">
        <v>40520</v>
      </c>
      <c r="E231" s="12">
        <v>87.378</v>
      </c>
      <c r="F231" s="12">
        <v>95.23</v>
      </c>
      <c r="G231" s="12">
        <v>104.18</v>
      </c>
      <c r="H231" s="34">
        <v>670.9</v>
      </c>
      <c r="I231" s="34">
        <v>11773.4</v>
      </c>
      <c r="J231" s="35">
        <v>88.123999999999995</v>
      </c>
      <c r="K231" s="35">
        <v>91.409000000000006</v>
      </c>
      <c r="L231" s="35">
        <v>97.028999999999996</v>
      </c>
      <c r="M231" s="5">
        <v>2.1298398792065218</v>
      </c>
      <c r="N231" s="5">
        <v>1.1672253818355554</v>
      </c>
      <c r="O231" s="5">
        <v>-2.9275615734863276</v>
      </c>
      <c r="P231" s="17">
        <v>0</v>
      </c>
      <c r="Q231" s="6">
        <v>0</v>
      </c>
      <c r="R231" s="33">
        <v>0</v>
      </c>
      <c r="S231" s="37">
        <v>0.97340000000000004</v>
      </c>
      <c r="T231" s="39">
        <v>14.3</v>
      </c>
      <c r="U231">
        <v>6.9479833087466815E-3</v>
      </c>
      <c r="V231" s="9">
        <v>3.0742000000000047E-2</v>
      </c>
      <c r="W231" s="38">
        <v>0</v>
      </c>
      <c r="X231" s="38">
        <v>92</v>
      </c>
      <c r="Y231" s="38">
        <v>99.8</v>
      </c>
      <c r="Z231" s="38">
        <v>87</v>
      </c>
      <c r="AA231" s="9">
        <v>1.2</v>
      </c>
      <c r="AB231" s="9">
        <v>1</v>
      </c>
      <c r="AC231" s="38">
        <v>2.5509204518989081E-2</v>
      </c>
      <c r="AD231" s="38">
        <v>0</v>
      </c>
      <c r="AE231" s="9">
        <v>3.6328435388641944</v>
      </c>
      <c r="AF231" s="38">
        <v>1</v>
      </c>
      <c r="AG231" s="9">
        <v>0.39614017267648194</v>
      </c>
      <c r="AH231" s="41">
        <v>1</v>
      </c>
      <c r="AI231" s="42">
        <v>0.59643132456550141</v>
      </c>
      <c r="AJ231" s="42">
        <v>0.4847160061925313</v>
      </c>
      <c r="AK231" s="9"/>
      <c r="AM231" s="9"/>
      <c r="AN231" s="9"/>
      <c r="AO231" s="9"/>
      <c r="AP231" s="9"/>
      <c r="AQ231" s="9"/>
      <c r="AR231" s="9"/>
      <c r="AS231" s="9"/>
      <c r="AU231" s="9"/>
      <c r="AV231" s="9"/>
      <c r="AW231" s="15"/>
      <c r="AX231" s="9"/>
      <c r="BC231" s="9"/>
      <c r="BD231" s="9"/>
      <c r="BE231" s="9"/>
      <c r="BF231" s="9"/>
      <c r="BG231" s="9"/>
      <c r="BL231" s="9"/>
      <c r="BM231" s="9"/>
      <c r="BN231" s="9"/>
      <c r="BO231" s="20"/>
      <c r="BP231" s="20"/>
      <c r="BQ231" s="9"/>
      <c r="BR231" s="9"/>
      <c r="BS231" s="21"/>
      <c r="BT231" s="9"/>
      <c r="BW231" s="2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</row>
    <row r="232" spans="1:87" ht="15">
      <c r="A232" s="13">
        <v>37987</v>
      </c>
      <c r="B232" s="12">
        <v>13606.565000000001</v>
      </c>
      <c r="C232" s="9">
        <v>0</v>
      </c>
      <c r="D232" s="24">
        <v>41033</v>
      </c>
      <c r="E232" s="12">
        <v>88.13</v>
      </c>
      <c r="F232" s="12">
        <v>95.506</v>
      </c>
      <c r="G232" s="12">
        <v>104.624</v>
      </c>
      <c r="H232" s="34">
        <v>747.9</v>
      </c>
      <c r="I232" s="34">
        <v>11966.6</v>
      </c>
      <c r="J232" s="35">
        <v>88.796999999999997</v>
      </c>
      <c r="K232" s="35">
        <v>91.284999999999997</v>
      </c>
      <c r="L232" s="35">
        <v>96.066000000000003</v>
      </c>
      <c r="M232" s="5">
        <v>1.246344693853495</v>
      </c>
      <c r="N232" s="5">
        <v>0.91320645600048667</v>
      </c>
      <c r="O232" s="5">
        <v>-3.1987210133535142</v>
      </c>
      <c r="P232" s="17">
        <v>0</v>
      </c>
      <c r="Q232" s="6">
        <v>0</v>
      </c>
      <c r="R232" s="33">
        <v>0</v>
      </c>
      <c r="S232" s="37">
        <v>0.1371</v>
      </c>
      <c r="T232" s="39">
        <v>11.3</v>
      </c>
      <c r="U232">
        <v>0</v>
      </c>
      <c r="V232" s="9">
        <v>-7.4787999999999855E-2</v>
      </c>
      <c r="W232" s="38">
        <v>0</v>
      </c>
      <c r="X232" s="38">
        <v>98.1</v>
      </c>
      <c r="Y232" s="38">
        <v>106.7</v>
      </c>
      <c r="Z232" s="38">
        <v>92.5</v>
      </c>
      <c r="AA232" s="9">
        <v>0.7</v>
      </c>
      <c r="AB232" s="9">
        <v>1</v>
      </c>
      <c r="AC232" s="38">
        <v>2.073906876044207E-2</v>
      </c>
      <c r="AD232" s="38">
        <v>0</v>
      </c>
      <c r="AE232" s="9">
        <v>2.7734564954381424</v>
      </c>
      <c r="AF232" s="38">
        <v>1</v>
      </c>
      <c r="AG232" s="9">
        <v>1.0117361392133262E-2</v>
      </c>
      <c r="AH232" s="41">
        <v>1</v>
      </c>
      <c r="AI232" s="42">
        <v>0.7307850571086657</v>
      </c>
      <c r="AJ232" s="42">
        <v>0.58173833888056725</v>
      </c>
      <c r="AK232" s="9"/>
      <c r="AM232" s="9"/>
      <c r="AN232" s="9"/>
      <c r="AO232" s="9"/>
      <c r="AP232" s="9"/>
      <c r="AQ232" s="9"/>
      <c r="AR232" s="9"/>
      <c r="AS232" s="9"/>
      <c r="AU232" s="9"/>
      <c r="AV232" s="9"/>
      <c r="AW232" s="15"/>
      <c r="AX232" s="9"/>
      <c r="BC232" s="9"/>
      <c r="BD232" s="9"/>
      <c r="BE232" s="9"/>
      <c r="BF232" s="9"/>
      <c r="BG232" s="9"/>
      <c r="BL232" s="9"/>
      <c r="BM232" s="9"/>
      <c r="BN232" s="9"/>
      <c r="BO232" s="20"/>
      <c r="BP232" s="20"/>
      <c r="BQ232" s="9"/>
      <c r="BR232" s="9"/>
      <c r="BS232" s="21"/>
      <c r="BT232" s="9"/>
      <c r="BW232" s="2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</row>
    <row r="233" spans="1:87" ht="15">
      <c r="A233" s="13">
        <v>38078</v>
      </c>
      <c r="B233" s="12">
        <v>13710.681</v>
      </c>
      <c r="C233" s="9">
        <v>0</v>
      </c>
      <c r="D233" s="24">
        <v>41600</v>
      </c>
      <c r="E233" s="12">
        <v>88.861000000000004</v>
      </c>
      <c r="F233" s="12">
        <v>96.448999999999998</v>
      </c>
      <c r="G233" s="12">
        <v>104.685</v>
      </c>
      <c r="H233" s="34">
        <v>771.4</v>
      </c>
      <c r="I233" s="34">
        <v>12195.8</v>
      </c>
      <c r="J233" s="35">
        <v>89.421000000000006</v>
      </c>
      <c r="K233" s="35">
        <v>92.132999999999996</v>
      </c>
      <c r="L233" s="35">
        <v>97.207999999999998</v>
      </c>
      <c r="M233" s="5">
        <v>2.392053682893303</v>
      </c>
      <c r="N233" s="5">
        <v>2.8829061610249536</v>
      </c>
      <c r="O233" s="5">
        <v>-3.0097146150005893</v>
      </c>
      <c r="P233" s="17">
        <v>0</v>
      </c>
      <c r="Q233" s="6">
        <v>0</v>
      </c>
      <c r="R233" s="33">
        <v>0</v>
      </c>
      <c r="S233" s="37">
        <v>4.3E-3</v>
      </c>
      <c r="T233" s="39">
        <v>17</v>
      </c>
      <c r="U233">
        <v>2.1570462366977345E-3</v>
      </c>
      <c r="V233" s="9">
        <v>8.6692999999999909E-2</v>
      </c>
      <c r="W233" s="38">
        <v>0</v>
      </c>
      <c r="X233" s="38">
        <v>93.4</v>
      </c>
      <c r="Y233" s="38">
        <v>105.1</v>
      </c>
      <c r="Z233" s="38">
        <v>85.8</v>
      </c>
      <c r="AA233" s="9">
        <v>0.2</v>
      </c>
      <c r="AB233" s="9">
        <v>1</v>
      </c>
      <c r="AC233" s="38">
        <v>3.1601940403802598E-2</v>
      </c>
      <c r="AD233" s="38">
        <v>0</v>
      </c>
      <c r="AE233" s="9">
        <v>4.832227564105307</v>
      </c>
      <c r="AF233" s="38">
        <v>1</v>
      </c>
      <c r="AG233" s="9">
        <v>0.32372281234194134</v>
      </c>
      <c r="AH233" s="41">
        <v>1</v>
      </c>
      <c r="AI233" s="42">
        <v>0.79255772068667663</v>
      </c>
      <c r="AJ233" s="42">
        <v>0.88773913295108964</v>
      </c>
      <c r="AK233" s="9"/>
      <c r="AM233" s="9"/>
      <c r="AN233" s="9"/>
      <c r="AO233" s="9"/>
      <c r="AP233" s="9"/>
      <c r="AQ233" s="9"/>
      <c r="AR233" s="9"/>
      <c r="AS233" s="9"/>
      <c r="AU233" s="9"/>
      <c r="AV233" s="9"/>
      <c r="AW233" s="15"/>
      <c r="AX233" s="9"/>
      <c r="BC233" s="9"/>
      <c r="BD233" s="9"/>
      <c r="BE233" s="9"/>
      <c r="BF233" s="9"/>
      <c r="BG233" s="9"/>
      <c r="BL233" s="9"/>
      <c r="BM233" s="9"/>
      <c r="BN233" s="9"/>
      <c r="BO233" s="20"/>
      <c r="BP233" s="20"/>
      <c r="BQ233" s="9"/>
      <c r="BR233" s="9"/>
      <c r="BS233" s="21"/>
      <c r="BT233" s="9"/>
      <c r="BW233" s="2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</row>
    <row r="234" spans="1:87" ht="15">
      <c r="A234" s="13">
        <v>38169</v>
      </c>
      <c r="B234" s="12">
        <v>13831.044</v>
      </c>
      <c r="C234" s="9">
        <v>0</v>
      </c>
      <c r="D234" s="24">
        <v>42130</v>
      </c>
      <c r="E234" s="12">
        <v>89.432000000000002</v>
      </c>
      <c r="F234" s="12">
        <v>97.307000000000002</v>
      </c>
      <c r="G234" s="12">
        <v>105.37</v>
      </c>
      <c r="H234" s="34">
        <v>790</v>
      </c>
      <c r="I234" s="34">
        <v>12410.7</v>
      </c>
      <c r="J234" s="35">
        <v>89.941999999999993</v>
      </c>
      <c r="K234" s="35">
        <v>92.347999999999999</v>
      </c>
      <c r="L234" s="35">
        <v>98.206999999999994</v>
      </c>
      <c r="M234" s="5">
        <v>2.5600840004528949</v>
      </c>
      <c r="N234" s="5">
        <v>3.654170569290069</v>
      </c>
      <c r="O234" s="5">
        <v>-2.8612808110834971</v>
      </c>
      <c r="P234" s="17">
        <v>0</v>
      </c>
      <c r="Q234" s="6">
        <v>0</v>
      </c>
      <c r="R234" s="33">
        <v>0</v>
      </c>
      <c r="S234" s="37">
        <v>-0.5091</v>
      </c>
      <c r="T234" s="39">
        <v>9.1</v>
      </c>
      <c r="U234">
        <v>0</v>
      </c>
      <c r="V234" s="9">
        <v>5.1468999999999987E-2</v>
      </c>
      <c r="W234" s="38">
        <v>0</v>
      </c>
      <c r="X234" s="38">
        <v>95.6</v>
      </c>
      <c r="Y234" s="38">
        <v>105.6</v>
      </c>
      <c r="Z234" s="38">
        <v>89.1</v>
      </c>
      <c r="AA234" s="9">
        <v>0</v>
      </c>
      <c r="AB234" s="9">
        <v>1</v>
      </c>
      <c r="AC234" s="38">
        <v>1.5052205078075698E-2</v>
      </c>
      <c r="AD234" s="38">
        <v>0</v>
      </c>
      <c r="AE234" s="9">
        <v>4.3712774624262707</v>
      </c>
      <c r="AF234" s="38">
        <v>1</v>
      </c>
      <c r="AG234" s="9">
        <v>-0.15125541998588687</v>
      </c>
      <c r="AH234" s="41">
        <v>1</v>
      </c>
      <c r="AI234" s="42">
        <v>0.85417450336060186</v>
      </c>
      <c r="AJ234" s="42">
        <v>0.85626907278706832</v>
      </c>
      <c r="AK234" s="9"/>
      <c r="AM234" s="9"/>
      <c r="AN234" s="9"/>
      <c r="AO234" s="9"/>
      <c r="AP234" s="9"/>
      <c r="AQ234" s="9"/>
      <c r="AR234" s="9"/>
      <c r="AS234" s="9"/>
      <c r="AU234" s="9"/>
      <c r="AV234" s="9"/>
      <c r="AW234" s="15"/>
      <c r="AX234" s="9"/>
      <c r="BC234" s="9"/>
      <c r="BD234" s="9"/>
      <c r="BE234" s="9"/>
      <c r="BF234" s="9"/>
      <c r="BG234" s="9"/>
      <c r="BL234" s="9"/>
      <c r="BM234" s="19"/>
      <c r="BN234" s="9"/>
      <c r="BO234" s="20"/>
      <c r="BP234" s="20"/>
      <c r="BQ234" s="9"/>
      <c r="BR234" s="19"/>
      <c r="BS234" s="21"/>
      <c r="BT234" s="9"/>
      <c r="BW234" s="2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</row>
    <row r="235" spans="1:87">
      <c r="A235" s="13">
        <v>38261</v>
      </c>
      <c r="B235" s="12">
        <v>13947.662</v>
      </c>
      <c r="C235" s="9">
        <v>0</v>
      </c>
      <c r="D235" s="24">
        <v>42686</v>
      </c>
      <c r="E235" s="12">
        <v>90.078000000000003</v>
      </c>
      <c r="F235" s="12">
        <v>98.11</v>
      </c>
      <c r="G235" s="12">
        <v>105.937</v>
      </c>
      <c r="H235" s="34">
        <v>779.6</v>
      </c>
      <c r="I235" s="34">
        <v>12560.9</v>
      </c>
      <c r="J235" s="35">
        <v>90.652000000000001</v>
      </c>
      <c r="K235" s="35">
        <v>92.611000000000004</v>
      </c>
      <c r="L235" s="35">
        <v>97.584000000000003</v>
      </c>
      <c r="M235" s="5">
        <v>-0.29819731324911725</v>
      </c>
      <c r="N235" s="5">
        <v>0.82703047980998579</v>
      </c>
      <c r="O235" s="5">
        <v>-2.9003531766191415</v>
      </c>
      <c r="P235" s="17">
        <v>0</v>
      </c>
      <c r="Q235" s="6">
        <v>0</v>
      </c>
      <c r="R235" s="33">
        <v>0</v>
      </c>
      <c r="S235" s="37"/>
      <c r="T235" s="39">
        <v>13</v>
      </c>
      <c r="U235">
        <v>0</v>
      </c>
      <c r="V235" s="9">
        <v>-4.8105999999999982E-2</v>
      </c>
      <c r="W235" s="38">
        <v>0</v>
      </c>
      <c r="X235" s="38">
        <v>93.9</v>
      </c>
      <c r="Y235" s="38">
        <v>105.1</v>
      </c>
      <c r="Z235" s="38">
        <v>86.6</v>
      </c>
      <c r="AA235" s="9">
        <v>0.6</v>
      </c>
      <c r="AB235" s="9">
        <v>1</v>
      </c>
      <c r="AC235" s="38">
        <v>3.4431444980022485E-2</v>
      </c>
      <c r="AD235" s="38">
        <v>0</v>
      </c>
      <c r="AE235" s="9">
        <v>2.7537459231335326</v>
      </c>
      <c r="AF235" s="38">
        <v>1</v>
      </c>
      <c r="AG235" s="9">
        <v>1.0098969905072863E-2</v>
      </c>
      <c r="AH235" s="41">
        <v>1</v>
      </c>
      <c r="AI235" s="42">
        <v>0.71471501335057763</v>
      </c>
      <c r="AJ235" s="42">
        <v>0.86803887406836822</v>
      </c>
      <c r="AK235" s="9"/>
      <c r="AM235" s="9"/>
      <c r="AN235" s="9"/>
      <c r="AO235" s="9"/>
      <c r="AP235" s="9"/>
      <c r="AQ235" s="9"/>
      <c r="AR235" s="9"/>
      <c r="AS235" s="9"/>
      <c r="AU235" s="9"/>
      <c r="AV235" s="9"/>
      <c r="AW235" s="15"/>
      <c r="AX235" s="9"/>
      <c r="BC235" s="9"/>
      <c r="BD235" s="9"/>
      <c r="BE235" s="9"/>
      <c r="BF235" s="9"/>
      <c r="BG235" s="9"/>
      <c r="BL235" s="9"/>
      <c r="BM235" s="9"/>
      <c r="BN235" s="9"/>
      <c r="BO235" s="20"/>
      <c r="BP235" s="20"/>
      <c r="BQ235" s="9"/>
      <c r="BR235" s="9"/>
      <c r="BT235" s="9"/>
      <c r="BW235" s="2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</row>
    <row r="236" spans="1:87">
      <c r="A236" s="13">
        <v>38353</v>
      </c>
      <c r="B236" s="12">
        <v>14100.244000000001</v>
      </c>
      <c r="C236" s="9">
        <v>0</v>
      </c>
      <c r="D236" s="24">
        <v>43451</v>
      </c>
      <c r="E236" s="12">
        <v>90.893000000000001</v>
      </c>
      <c r="F236" s="12">
        <v>99.424000000000007</v>
      </c>
      <c r="G236" s="12">
        <v>106.11499999999999</v>
      </c>
      <c r="H236" s="34">
        <v>788.6</v>
      </c>
      <c r="I236" s="34">
        <v>12800.8</v>
      </c>
      <c r="J236" s="35">
        <v>91.123000000000005</v>
      </c>
      <c r="K236" s="35">
        <v>93.694999999999993</v>
      </c>
      <c r="L236" s="35">
        <v>97.875</v>
      </c>
      <c r="M236" s="5">
        <v>2.1461837384822657</v>
      </c>
      <c r="N236" s="5">
        <v>2.6393050741955806</v>
      </c>
      <c r="O236" s="5">
        <v>-2.4260356927185289</v>
      </c>
      <c r="P236" s="17">
        <v>0</v>
      </c>
      <c r="Q236" s="6">
        <v>0</v>
      </c>
      <c r="R236" s="33">
        <v>0</v>
      </c>
      <c r="S236" s="37"/>
      <c r="T236" s="39">
        <v>11.5</v>
      </c>
      <c r="U236">
        <v>8.2482062579660852E-3</v>
      </c>
      <c r="V236" s="9">
        <v>3.9676999999999962E-2</v>
      </c>
      <c r="W236" s="38">
        <v>0.560309363</v>
      </c>
      <c r="X236" s="38">
        <v>94.1</v>
      </c>
      <c r="Y236" s="38">
        <v>109.3</v>
      </c>
      <c r="Z236" s="38">
        <v>84.3</v>
      </c>
      <c r="AA236" s="9">
        <v>0.6</v>
      </c>
      <c r="AB236" s="9">
        <v>1</v>
      </c>
      <c r="AC236" s="38">
        <v>4.9725495202390668E-3</v>
      </c>
      <c r="AD236" s="38">
        <v>0</v>
      </c>
      <c r="AE236" s="9">
        <v>1.3654792843930563</v>
      </c>
      <c r="AF236" s="38">
        <v>1</v>
      </c>
      <c r="AG236" s="9">
        <v>-0.12117540139352911</v>
      </c>
      <c r="AH236" s="41">
        <v>1</v>
      </c>
      <c r="AI236" s="42">
        <v>0.98153274830616466</v>
      </c>
      <c r="AJ236" s="42">
        <v>0.83036681201830387</v>
      </c>
      <c r="AK236" s="9"/>
      <c r="AM236" s="9"/>
      <c r="AN236" s="9"/>
      <c r="AO236" s="9"/>
      <c r="AP236" s="9"/>
      <c r="AQ236" s="9"/>
      <c r="AR236" s="9"/>
      <c r="AS236" s="9"/>
      <c r="AU236" s="9"/>
      <c r="AV236" s="9"/>
      <c r="AW236" s="15"/>
      <c r="BC236" s="9"/>
      <c r="BD236" s="9"/>
      <c r="BE236" s="9"/>
      <c r="BF236" s="9"/>
      <c r="BG236" s="9"/>
      <c r="BL236" s="9"/>
      <c r="BM236" s="9"/>
      <c r="BN236" s="9"/>
      <c r="BO236" s="20"/>
      <c r="BP236" s="20"/>
      <c r="BQ236" s="9"/>
      <c r="BR236" s="19"/>
      <c r="BT236" s="9"/>
      <c r="BW236" s="2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</row>
    <row r="237" spans="1:87">
      <c r="A237" s="13">
        <v>38443</v>
      </c>
      <c r="B237" s="12">
        <v>14177.163</v>
      </c>
      <c r="C237" s="9">
        <v>0</v>
      </c>
      <c r="D237" s="24">
        <v>43898</v>
      </c>
      <c r="E237" s="12">
        <v>91.525000000000006</v>
      </c>
      <c r="F237" s="12">
        <v>99.989000000000004</v>
      </c>
      <c r="G237" s="12">
        <v>106.79900000000001</v>
      </c>
      <c r="H237" s="34">
        <v>817.3</v>
      </c>
      <c r="I237" s="34">
        <v>12986.1</v>
      </c>
      <c r="J237" s="35">
        <v>91.727000000000004</v>
      </c>
      <c r="K237" s="35">
        <v>93.623999999999995</v>
      </c>
      <c r="L237" s="35">
        <v>97.728999999999999</v>
      </c>
      <c r="M237" s="5">
        <v>0.24707261050328649</v>
      </c>
      <c r="N237" s="5">
        <v>-0.32100299390244807</v>
      </c>
      <c r="O237" s="5">
        <v>-2.4043325966702489</v>
      </c>
      <c r="P237" s="17">
        <v>0</v>
      </c>
      <c r="Q237" s="6">
        <v>0</v>
      </c>
      <c r="R237" s="33">
        <v>0</v>
      </c>
      <c r="S237" s="37"/>
      <c r="T237" s="39">
        <v>15.7</v>
      </c>
      <c r="U237">
        <v>0</v>
      </c>
      <c r="V237" s="9">
        <v>5.8769999999999101E-3</v>
      </c>
      <c r="W237" s="38">
        <v>0</v>
      </c>
      <c r="X237" s="38">
        <v>90.2</v>
      </c>
      <c r="Y237" s="38">
        <v>107.5</v>
      </c>
      <c r="Z237" s="38">
        <v>79.099999999999994</v>
      </c>
      <c r="AA237" s="9">
        <v>1.2</v>
      </c>
      <c r="AB237" s="9">
        <v>1</v>
      </c>
      <c r="AC237" s="38">
        <v>1.3133045716667846E-2</v>
      </c>
      <c r="AD237" s="38">
        <v>0</v>
      </c>
      <c r="AE237" s="9">
        <v>2.9391436802340909</v>
      </c>
      <c r="AF237" s="38">
        <v>1</v>
      </c>
      <c r="AG237" s="9">
        <v>0.64705287635224806</v>
      </c>
      <c r="AH237" s="41">
        <v>1</v>
      </c>
      <c r="AI237" s="42">
        <v>0.7331206196378357</v>
      </c>
      <c r="AJ237" s="42">
        <v>1.2195725466657079</v>
      </c>
      <c r="AK237" s="9"/>
      <c r="AM237" s="9"/>
      <c r="AN237" s="9"/>
      <c r="AO237" s="9"/>
      <c r="AP237" s="9"/>
      <c r="AQ237" s="9"/>
      <c r="AR237" s="9"/>
      <c r="AS237" s="9"/>
      <c r="AU237" s="9"/>
      <c r="AV237" s="9"/>
      <c r="AW237" s="15"/>
      <c r="BC237" s="9"/>
      <c r="BD237" s="9"/>
      <c r="BE237" s="9"/>
      <c r="BF237" s="9"/>
      <c r="BG237" s="9"/>
      <c r="BL237" s="9"/>
      <c r="BM237" s="9"/>
      <c r="BN237" s="9"/>
      <c r="BO237" s="20"/>
      <c r="BP237" s="20"/>
      <c r="BQ237" s="9"/>
      <c r="BR237" s="9"/>
      <c r="BT237" s="9"/>
      <c r="BW237" s="2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</row>
    <row r="238" spans="1:87">
      <c r="A238" s="13">
        <v>38534</v>
      </c>
      <c r="B238" s="12">
        <v>14292.870999999999</v>
      </c>
      <c r="C238" s="9">
        <v>0</v>
      </c>
      <c r="D238" s="24">
        <v>44566</v>
      </c>
      <c r="E238" s="12">
        <v>92.4</v>
      </c>
      <c r="F238" s="12">
        <v>100.907</v>
      </c>
      <c r="G238" s="12">
        <v>107.02500000000001</v>
      </c>
      <c r="H238" s="34">
        <v>818.7</v>
      </c>
      <c r="I238" s="34">
        <v>13223</v>
      </c>
      <c r="J238" s="35">
        <v>92.731999999999999</v>
      </c>
      <c r="K238" s="35">
        <v>94.284000000000006</v>
      </c>
      <c r="L238" s="35">
        <v>97.465000000000003</v>
      </c>
      <c r="M238" s="5">
        <v>2.6719709834097736</v>
      </c>
      <c r="N238" s="5">
        <v>1.0631794049670142</v>
      </c>
      <c r="O238" s="5">
        <v>-2.4435247680739476</v>
      </c>
      <c r="P238" s="17">
        <v>0</v>
      </c>
      <c r="Q238" s="6">
        <v>0</v>
      </c>
      <c r="R238" s="33">
        <v>0</v>
      </c>
      <c r="S238" s="37"/>
      <c r="T238" s="39">
        <v>21.2</v>
      </c>
      <c r="U238">
        <v>0</v>
      </c>
      <c r="V238" s="9">
        <v>-4.327599999999987E-2</v>
      </c>
      <c r="W238" s="38">
        <v>0</v>
      </c>
      <c r="X238" s="38">
        <v>87.4</v>
      </c>
      <c r="Y238" s="38">
        <v>106.5</v>
      </c>
      <c r="Z238" s="38">
        <v>75.099999999999994</v>
      </c>
      <c r="AA238" s="9">
        <v>0.8</v>
      </c>
      <c r="AB238" s="9">
        <v>1</v>
      </c>
      <c r="AC238" s="38">
        <v>2.1669152653444268E-2</v>
      </c>
      <c r="AD238" s="38">
        <v>0</v>
      </c>
      <c r="AE238" s="9">
        <v>4.146754319099033</v>
      </c>
      <c r="AF238" s="38">
        <v>1</v>
      </c>
      <c r="AG238" s="9">
        <v>0.77348066298341678</v>
      </c>
      <c r="AH238" s="41">
        <v>1</v>
      </c>
      <c r="AI238" s="42">
        <v>0.38589531752513012</v>
      </c>
      <c r="AJ238" s="42">
        <v>0.66328171933417956</v>
      </c>
      <c r="AK238" s="9"/>
      <c r="AM238" s="9"/>
      <c r="AN238" s="9"/>
      <c r="AO238" s="9"/>
      <c r="AP238" s="9"/>
      <c r="AQ238" s="9"/>
      <c r="AR238" s="9"/>
      <c r="AS238" s="9"/>
      <c r="AU238" s="9"/>
      <c r="AV238" s="9"/>
      <c r="AW238" s="15"/>
      <c r="BC238" s="9"/>
      <c r="BD238" s="9"/>
      <c r="BE238" s="9"/>
      <c r="BF238" s="9"/>
      <c r="BG238" s="9"/>
      <c r="BL238" s="9"/>
      <c r="BM238" s="9"/>
      <c r="BN238" s="9"/>
      <c r="BO238" s="20"/>
      <c r="BP238" s="20"/>
      <c r="BQ238" s="9"/>
      <c r="BR238" s="9"/>
      <c r="BT238" s="9"/>
      <c r="BW238" s="2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</row>
    <row r="239" spans="1:87">
      <c r="A239" s="13">
        <v>38626</v>
      </c>
      <c r="B239" s="12">
        <v>14371.95</v>
      </c>
      <c r="C239" s="9">
        <v>0</v>
      </c>
      <c r="D239" s="24">
        <v>45049</v>
      </c>
      <c r="E239" s="12">
        <v>93.120999999999995</v>
      </c>
      <c r="F239" s="12">
        <v>101.545</v>
      </c>
      <c r="G239" s="12">
        <v>107.711</v>
      </c>
      <c r="H239" s="34">
        <v>880.5</v>
      </c>
      <c r="I239" s="34">
        <v>13506.9</v>
      </c>
      <c r="J239" s="35">
        <v>93.457999999999998</v>
      </c>
      <c r="K239" s="35">
        <v>94.275000000000006</v>
      </c>
      <c r="L239" s="35">
        <v>97.177000000000007</v>
      </c>
      <c r="M239" s="5">
        <v>1.2791148165099231</v>
      </c>
      <c r="N239" s="5">
        <v>-0.91630767144110115</v>
      </c>
      <c r="O239" s="5">
        <v>-2.2594727133307022</v>
      </c>
      <c r="P239" s="17">
        <v>0</v>
      </c>
      <c r="Q239" s="6">
        <v>0</v>
      </c>
      <c r="R239" s="33">
        <v>0</v>
      </c>
      <c r="S239" s="37"/>
      <c r="T239" s="39">
        <v>3.8</v>
      </c>
      <c r="U239">
        <v>0</v>
      </c>
      <c r="V239" s="9">
        <v>3.2349999999999879E-2</v>
      </c>
      <c r="W239" s="38">
        <v>0</v>
      </c>
      <c r="X239" s="38">
        <v>82.4</v>
      </c>
      <c r="Y239" s="38">
        <v>100.1</v>
      </c>
      <c r="Z239" s="38">
        <v>71</v>
      </c>
      <c r="AA239" s="9">
        <v>1.1000000000000001</v>
      </c>
      <c r="AB239" s="9">
        <v>1</v>
      </c>
      <c r="AC239" s="38">
        <v>2.9358612271934703E-2</v>
      </c>
      <c r="AD239" s="38">
        <v>0</v>
      </c>
      <c r="AE239" s="9">
        <v>4.0157558533092219</v>
      </c>
      <c r="AF239" s="38">
        <v>1</v>
      </c>
      <c r="AG239" s="9">
        <v>0.31897926634769647</v>
      </c>
      <c r="AH239" s="41">
        <v>1</v>
      </c>
      <c r="AI239" s="42">
        <v>0.93751246149112644</v>
      </c>
      <c r="AJ239" s="42">
        <v>1.0413488203541901</v>
      </c>
      <c r="AK239" s="9"/>
      <c r="AM239" s="9"/>
      <c r="AN239" s="9"/>
      <c r="AO239" s="9"/>
      <c r="AP239" s="9"/>
      <c r="AQ239" s="9"/>
      <c r="AR239" s="9"/>
      <c r="AS239" s="9"/>
      <c r="AU239" s="9"/>
      <c r="AV239" s="9"/>
      <c r="AW239" s="15"/>
      <c r="BC239" s="9"/>
      <c r="BD239" s="9"/>
      <c r="BE239" s="9"/>
      <c r="BF239" s="9"/>
      <c r="BG239" s="9"/>
      <c r="BL239" s="9"/>
      <c r="BM239" s="9"/>
      <c r="BN239" s="9"/>
      <c r="BO239" s="20"/>
      <c r="BP239" s="20"/>
      <c r="BQ239" s="9"/>
      <c r="BR239" s="9"/>
      <c r="BT239" s="9"/>
      <c r="BW239" s="2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</row>
    <row r="240" spans="1:87">
      <c r="A240" s="13">
        <v>38718</v>
      </c>
      <c r="B240" s="12">
        <v>14546.356</v>
      </c>
      <c r="C240" s="9">
        <v>0</v>
      </c>
      <c r="D240" s="24">
        <v>45845</v>
      </c>
      <c r="E240" s="12">
        <v>93.837000000000003</v>
      </c>
      <c r="F240" s="12">
        <v>103.056</v>
      </c>
      <c r="G240" s="12">
        <v>108.67700000000001</v>
      </c>
      <c r="H240" s="34">
        <v>920.4</v>
      </c>
      <c r="I240" s="34">
        <v>13871</v>
      </c>
      <c r="J240" s="35">
        <v>93.89</v>
      </c>
      <c r="K240" s="35">
        <v>94.828000000000003</v>
      </c>
      <c r="L240" s="35">
        <v>98.707999999999998</v>
      </c>
      <c r="M240" s="5">
        <v>4.1358540738578204</v>
      </c>
      <c r="N240" s="5">
        <v>1.9978890502009903</v>
      </c>
      <c r="O240" s="5">
        <v>-2.0018972283437146</v>
      </c>
      <c r="P240" s="17">
        <v>0</v>
      </c>
      <c r="Q240" s="6">
        <v>0</v>
      </c>
      <c r="R240" s="33">
        <v>0</v>
      </c>
      <c r="S240" s="37"/>
      <c r="T240" s="39">
        <v>11.5</v>
      </c>
      <c r="U240">
        <v>0</v>
      </c>
      <c r="V240" s="9">
        <v>4.6057000000000015E-2</v>
      </c>
      <c r="W240" s="38">
        <v>0</v>
      </c>
      <c r="X240" s="38">
        <v>88.9</v>
      </c>
      <c r="Y240" s="38">
        <v>108.3</v>
      </c>
      <c r="Z240" s="38">
        <v>76.5</v>
      </c>
      <c r="AA240" s="9">
        <v>0.5</v>
      </c>
      <c r="AB240" s="9">
        <v>1</v>
      </c>
      <c r="AC240" s="38">
        <v>2.8012126454256769E-2</v>
      </c>
      <c r="AD240" s="38">
        <v>0</v>
      </c>
      <c r="AE240" s="9">
        <v>4.4249923890697707</v>
      </c>
      <c r="AF240" s="38">
        <v>0</v>
      </c>
      <c r="AG240" s="9">
        <v>1.1327503974562774</v>
      </c>
      <c r="AH240" s="41">
        <v>1</v>
      </c>
      <c r="AI240" s="42">
        <v>0.62367488288972772</v>
      </c>
      <c r="AJ240" s="42">
        <v>0.84800312803379607</v>
      </c>
      <c r="AK240" s="9"/>
      <c r="AM240" s="9"/>
      <c r="AN240" s="9"/>
      <c r="AO240" s="9"/>
      <c r="AP240" s="9"/>
      <c r="AQ240" s="9"/>
      <c r="AR240" s="9"/>
      <c r="AS240" s="9"/>
      <c r="AU240" s="9"/>
      <c r="AV240" s="9"/>
      <c r="AW240" s="15"/>
      <c r="BC240" s="9"/>
      <c r="BD240" s="9"/>
      <c r="BE240" s="9"/>
      <c r="BF240" s="9"/>
      <c r="BG240" s="9"/>
      <c r="BL240" s="9"/>
      <c r="BM240" s="9"/>
      <c r="BN240" s="9"/>
      <c r="BO240" s="20"/>
      <c r="BP240" s="20"/>
      <c r="BQ240" s="9"/>
      <c r="BR240" s="9"/>
      <c r="BT240" s="9"/>
      <c r="BW240" s="2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</row>
    <row r="241" spans="1:87">
      <c r="A241" s="13">
        <v>38808</v>
      </c>
      <c r="B241" s="12">
        <v>14591.608</v>
      </c>
      <c r="C241" s="9">
        <v>0</v>
      </c>
      <c r="D241" s="24">
        <v>46255</v>
      </c>
      <c r="E241" s="12">
        <v>94.594999999999999</v>
      </c>
      <c r="F241" s="12">
        <v>103.2</v>
      </c>
      <c r="G241" s="12">
        <v>108.979</v>
      </c>
      <c r="H241" s="34">
        <v>919.3</v>
      </c>
      <c r="I241" s="34">
        <v>14003.7</v>
      </c>
      <c r="J241" s="35">
        <v>94.611999999999995</v>
      </c>
      <c r="K241" s="35">
        <v>94.697000000000003</v>
      </c>
      <c r="L241" s="35">
        <v>97.888999999999996</v>
      </c>
      <c r="M241" s="5">
        <v>-1.6526689252443849</v>
      </c>
      <c r="N241" s="5">
        <v>-3.2376389051414565</v>
      </c>
      <c r="O241" s="5">
        <v>-2.1189694925634375</v>
      </c>
      <c r="P241" s="17">
        <v>0</v>
      </c>
      <c r="Q241" s="6">
        <v>0</v>
      </c>
      <c r="R241" s="33">
        <v>0</v>
      </c>
      <c r="S241" s="37"/>
      <c r="T241" s="39">
        <v>14.5</v>
      </c>
      <c r="U241">
        <v>1.7300563491889572E-2</v>
      </c>
      <c r="V241" s="9">
        <v>3.9532000000000123E-2</v>
      </c>
      <c r="W241" s="38">
        <v>0</v>
      </c>
      <c r="X241" s="38">
        <v>83.8</v>
      </c>
      <c r="Y241" s="38">
        <v>103.5</v>
      </c>
      <c r="Z241" s="38">
        <v>71.2</v>
      </c>
      <c r="AA241" s="9">
        <v>0.3</v>
      </c>
      <c r="AB241" s="9">
        <v>1</v>
      </c>
      <c r="AC241" s="38">
        <v>4.25759023124892E-2</v>
      </c>
      <c r="AD241" s="38">
        <v>0</v>
      </c>
      <c r="AE241" s="9">
        <v>0.41362967583811194</v>
      </c>
      <c r="AF241" s="38">
        <v>0</v>
      </c>
      <c r="AG241" s="9">
        <v>1.4737669483199056</v>
      </c>
      <c r="AH241" s="41">
        <v>0</v>
      </c>
      <c r="AI241" s="42">
        <v>0.70846989670122829</v>
      </c>
      <c r="AJ241" s="42">
        <v>0.67469614729632965</v>
      </c>
      <c r="AK241" s="9"/>
      <c r="AM241" s="9"/>
      <c r="AN241" s="9"/>
      <c r="AO241" s="9"/>
      <c r="AP241" s="9"/>
      <c r="AQ241" s="9"/>
      <c r="AR241" s="9"/>
      <c r="AS241" s="9"/>
      <c r="AU241" s="9"/>
      <c r="AV241" s="9"/>
      <c r="AW241" s="15"/>
      <c r="BC241" s="9"/>
      <c r="BD241" s="9"/>
      <c r="BE241" s="9"/>
      <c r="BF241" s="9"/>
      <c r="BG241" s="9"/>
      <c r="BL241" s="9"/>
      <c r="BM241" s="9"/>
      <c r="BN241" s="9"/>
      <c r="BO241" s="20"/>
      <c r="BP241" s="20"/>
      <c r="BQ241" s="9"/>
      <c r="BR241" s="9"/>
      <c r="BT241" s="9"/>
      <c r="BW241" s="2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</row>
    <row r="242" spans="1:87">
      <c r="A242" s="13">
        <v>38899</v>
      </c>
      <c r="B242" s="12">
        <v>14604.376</v>
      </c>
      <c r="C242" s="9">
        <v>0</v>
      </c>
      <c r="D242" s="24">
        <v>46495</v>
      </c>
      <c r="E242" s="12">
        <v>95.248999999999995</v>
      </c>
      <c r="F242" s="12">
        <v>103.249</v>
      </c>
      <c r="G242" s="12">
        <v>109.616</v>
      </c>
      <c r="H242" s="34">
        <v>946.5</v>
      </c>
      <c r="I242" s="34">
        <v>14157.2</v>
      </c>
      <c r="J242" s="35">
        <v>95.287000000000006</v>
      </c>
      <c r="K242" s="35">
        <v>94.191000000000003</v>
      </c>
      <c r="L242" s="35">
        <v>97.046000000000006</v>
      </c>
      <c r="M242" s="5">
        <v>-2.3380220962230047</v>
      </c>
      <c r="N242" s="5">
        <v>-3.2646418312415575</v>
      </c>
      <c r="O242" s="5">
        <v>-1.8085726487475422</v>
      </c>
      <c r="P242" s="17">
        <v>0</v>
      </c>
      <c r="Q242" s="6">
        <v>0</v>
      </c>
      <c r="R242" s="33">
        <v>0</v>
      </c>
      <c r="S242" s="37"/>
      <c r="T242" s="39">
        <v>7.7</v>
      </c>
      <c r="U242">
        <v>0</v>
      </c>
      <c r="V242" s="9">
        <v>2.9733000000000009E-2</v>
      </c>
      <c r="W242" s="38">
        <v>0</v>
      </c>
      <c r="X242" s="38">
        <v>84</v>
      </c>
      <c r="Y242" s="38">
        <v>101.3</v>
      </c>
      <c r="Z242" s="38">
        <v>72.900000000000006</v>
      </c>
      <c r="AA242" s="9">
        <v>0.2</v>
      </c>
      <c r="AB242" s="9">
        <v>1</v>
      </c>
      <c r="AC242" s="38">
        <v>2.2542627776327429E-3</v>
      </c>
      <c r="AD242" s="38">
        <v>0</v>
      </c>
      <c r="AE242" s="9">
        <v>0.45456160888939223</v>
      </c>
      <c r="AF242" s="38">
        <v>0</v>
      </c>
      <c r="AG242" s="9">
        <v>0.9682416731216108</v>
      </c>
      <c r="AH242" s="41">
        <v>0</v>
      </c>
      <c r="AI242" s="42">
        <v>0.61390984996480746</v>
      </c>
      <c r="AJ242" s="42">
        <v>0.76613354625266394</v>
      </c>
      <c r="AK242" s="9"/>
      <c r="AM242" s="9"/>
      <c r="AN242" s="9"/>
      <c r="AO242" s="9"/>
      <c r="AP242" s="9"/>
      <c r="AQ242" s="9"/>
      <c r="AR242" s="9"/>
      <c r="AS242" s="9"/>
      <c r="AU242" s="9"/>
      <c r="AV242" s="9"/>
      <c r="AW242" s="15"/>
      <c r="BC242" s="9"/>
      <c r="BD242" s="9"/>
      <c r="BE242" s="9"/>
      <c r="BF242" s="9"/>
      <c r="BG242" s="9"/>
      <c r="BL242" s="9"/>
      <c r="BM242" s="9"/>
      <c r="BN242" s="9"/>
      <c r="BO242" s="20"/>
      <c r="BP242" s="20"/>
      <c r="BQ242" s="9"/>
      <c r="BR242" s="19"/>
      <c r="BT242" s="9"/>
      <c r="BW242" s="2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</row>
    <row r="243" spans="1:87">
      <c r="A243" s="13">
        <v>38991</v>
      </c>
      <c r="B243" s="12">
        <v>14718.445</v>
      </c>
      <c r="C243" s="9">
        <v>0</v>
      </c>
      <c r="D243" s="24">
        <v>46903</v>
      </c>
      <c r="E243" s="12">
        <v>95.582999999999998</v>
      </c>
      <c r="F243" s="12">
        <v>104.292</v>
      </c>
      <c r="G243" s="12">
        <v>109.947</v>
      </c>
      <c r="H243" s="34">
        <v>881.7</v>
      </c>
      <c r="I243" s="34">
        <v>14260.7</v>
      </c>
      <c r="J243" s="35">
        <v>95.125</v>
      </c>
      <c r="K243" s="35">
        <v>94.855999999999995</v>
      </c>
      <c r="L243" s="35">
        <v>99.203999999999994</v>
      </c>
      <c r="M243" s="5">
        <v>0.95296797484271023</v>
      </c>
      <c r="N243" s="5">
        <v>0.3990969780038679</v>
      </c>
      <c r="O243" s="5">
        <v>-1.4681517855395425</v>
      </c>
      <c r="P243" s="17">
        <v>0</v>
      </c>
      <c r="Q243" s="6">
        <v>0</v>
      </c>
      <c r="R243" s="33">
        <v>0</v>
      </c>
      <c r="S243" s="37"/>
      <c r="T243" s="39">
        <v>1.9</v>
      </c>
      <c r="U243">
        <v>0</v>
      </c>
      <c r="V243" s="9">
        <v>-3.8799000000000028E-2</v>
      </c>
      <c r="W243" s="38">
        <v>0</v>
      </c>
      <c r="X243" s="38">
        <v>92.5</v>
      </c>
      <c r="Y243" s="38">
        <v>107.1</v>
      </c>
      <c r="Z243" s="38">
        <v>83</v>
      </c>
      <c r="AA243" s="9">
        <v>0.9</v>
      </c>
      <c r="AB243" s="9">
        <v>1</v>
      </c>
      <c r="AC243" s="38">
        <v>3.5220704155190186E-2</v>
      </c>
      <c r="AD243" s="38">
        <v>0</v>
      </c>
      <c r="AE243" s="9">
        <v>2.3475931083017931</v>
      </c>
      <c r="AF243" s="38">
        <v>0</v>
      </c>
      <c r="AG243" s="9">
        <v>1.2850019179133199</v>
      </c>
      <c r="AH243" s="41">
        <v>0</v>
      </c>
      <c r="AI243" s="42">
        <v>0.58219362113347417</v>
      </c>
      <c r="AJ243" s="42">
        <v>0.59353374640495926</v>
      </c>
      <c r="AK243" s="9"/>
      <c r="AM243" s="9"/>
      <c r="AN243" s="9"/>
      <c r="AO243" s="9"/>
      <c r="AP243" s="9"/>
      <c r="AQ243" s="9"/>
      <c r="AR243" s="9"/>
      <c r="AS243" s="9"/>
      <c r="AU243" s="9"/>
      <c r="AV243" s="9"/>
      <c r="AW243" s="15"/>
      <c r="BC243" s="9"/>
      <c r="BD243" s="9"/>
      <c r="BE243" s="9"/>
      <c r="BF243" s="9"/>
      <c r="BG243" s="9"/>
      <c r="BL243" s="9"/>
      <c r="BM243" s="9"/>
      <c r="BN243" s="9"/>
      <c r="BO243" s="20"/>
      <c r="BP243" s="20"/>
      <c r="BQ243" s="9"/>
      <c r="BR243" s="9"/>
      <c r="BT243" s="9"/>
      <c r="BW243" s="2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</row>
    <row r="244" spans="1:87">
      <c r="A244" s="13">
        <v>39083</v>
      </c>
      <c r="B244" s="12">
        <v>14728.052</v>
      </c>
      <c r="C244" s="9">
        <v>0</v>
      </c>
      <c r="D244" s="24">
        <v>47354</v>
      </c>
      <c r="E244" s="12">
        <v>96.652000000000001</v>
      </c>
      <c r="F244" s="12">
        <v>104.33199999999999</v>
      </c>
      <c r="G244" s="12">
        <v>109.98099999999999</v>
      </c>
      <c r="H244" s="34">
        <v>770.1</v>
      </c>
      <c r="I244" s="34">
        <v>14384.6</v>
      </c>
      <c r="J244" s="35">
        <v>96.010999999999996</v>
      </c>
      <c r="K244" s="35">
        <v>94.864000000000004</v>
      </c>
      <c r="L244" s="35">
        <v>100.65</v>
      </c>
      <c r="M244" s="5">
        <v>-2.2760478013759244</v>
      </c>
      <c r="N244" s="5">
        <v>-2.8832197120502805</v>
      </c>
      <c r="O244" s="5">
        <v>-1.5456256772826802</v>
      </c>
      <c r="P244" s="17">
        <v>0</v>
      </c>
      <c r="Q244" s="6">
        <v>0</v>
      </c>
      <c r="R244" s="33">
        <v>0</v>
      </c>
      <c r="S244" s="37"/>
      <c r="T244" s="39">
        <v>1.8</v>
      </c>
      <c r="U244">
        <v>0</v>
      </c>
      <c r="V244" s="9">
        <v>2.7177000000000007E-2</v>
      </c>
      <c r="W244" s="38">
        <v>0</v>
      </c>
      <c r="X244" s="38">
        <v>92.2</v>
      </c>
      <c r="Y244" s="38">
        <v>107.2</v>
      </c>
      <c r="Z244" s="38">
        <v>82.6</v>
      </c>
      <c r="AA244" s="9">
        <v>1.1000000000000001</v>
      </c>
      <c r="AB244" s="9">
        <v>1</v>
      </c>
      <c r="AC244" s="38">
        <v>2.4555616300133032E-2</v>
      </c>
      <c r="AD244" s="38">
        <v>0</v>
      </c>
      <c r="AE244" s="9">
        <v>2.6235776190445925</v>
      </c>
      <c r="AF244" s="38">
        <v>0</v>
      </c>
      <c r="AG244" s="9">
        <v>0.62488165120242911</v>
      </c>
      <c r="AH244" s="41">
        <v>0</v>
      </c>
      <c r="AI244" s="42">
        <v>0.1165671937932639</v>
      </c>
      <c r="AJ244" s="42">
        <v>0.51419199021883832</v>
      </c>
      <c r="AK244" s="9"/>
      <c r="AM244" s="9"/>
      <c r="AN244" s="9"/>
      <c r="AO244" s="9"/>
      <c r="AP244" s="9"/>
      <c r="AQ244" s="9"/>
      <c r="AR244" s="9"/>
      <c r="AS244" s="9"/>
      <c r="AU244" s="9"/>
      <c r="AV244" s="9"/>
      <c r="AW244" s="15"/>
      <c r="BC244" s="9"/>
      <c r="BD244" s="9"/>
      <c r="BE244" s="9"/>
      <c r="BF244" s="9"/>
      <c r="BG244" s="9"/>
      <c r="BQ244" s="9"/>
      <c r="BT244" s="9"/>
      <c r="BW244" s="2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</row>
    <row r="245" spans="1:87">
      <c r="A245" s="13">
        <v>39173</v>
      </c>
      <c r="B245" s="12">
        <v>14841.529</v>
      </c>
      <c r="C245" s="9">
        <v>0</v>
      </c>
      <c r="D245" s="24">
        <v>47877</v>
      </c>
      <c r="E245" s="12">
        <v>97.19</v>
      </c>
      <c r="F245" s="12">
        <v>105.34699999999999</v>
      </c>
      <c r="G245" s="12">
        <v>110.36499999999999</v>
      </c>
      <c r="H245" s="34">
        <v>806</v>
      </c>
      <c r="I245" s="34">
        <v>14485.8</v>
      </c>
      <c r="J245" s="35">
        <v>96.772000000000006</v>
      </c>
      <c r="K245" s="35">
        <v>95.453000000000003</v>
      </c>
      <c r="L245" s="35">
        <v>99.495999999999995</v>
      </c>
      <c r="M245" s="5">
        <v>-0.21002004238670635</v>
      </c>
      <c r="N245" s="5">
        <v>-1.0726165246060464</v>
      </c>
      <c r="O245" s="5">
        <v>-1.837058861354484</v>
      </c>
      <c r="P245" s="6">
        <v>1</v>
      </c>
      <c r="Q245" s="6">
        <v>1</v>
      </c>
      <c r="R245" s="33">
        <v>0</v>
      </c>
      <c r="S245" s="5"/>
      <c r="T245" s="39">
        <v>7.8</v>
      </c>
      <c r="U245">
        <v>0</v>
      </c>
      <c r="V245" s="9">
        <v>-1.9670999999999994E-2</v>
      </c>
      <c r="W245" s="38">
        <v>0</v>
      </c>
      <c r="X245" s="38">
        <v>86.9</v>
      </c>
      <c r="Y245" s="38">
        <v>103.9</v>
      </c>
      <c r="Z245" s="38">
        <v>76</v>
      </c>
      <c r="AA245" s="9">
        <v>1.2</v>
      </c>
      <c r="AB245" s="9">
        <v>1</v>
      </c>
      <c r="AC245" s="38">
        <v>2.1012889426543113E-2</v>
      </c>
      <c r="AD245" s="38">
        <v>0</v>
      </c>
      <c r="AE245" s="9">
        <v>3.2914807390132639</v>
      </c>
      <c r="AF245" s="38">
        <v>0</v>
      </c>
      <c r="AG245" s="9">
        <v>0.52691004892734838</v>
      </c>
      <c r="AH245" s="41">
        <v>0</v>
      </c>
      <c r="AI245" s="42">
        <v>-5.1836444825904007E-2</v>
      </c>
      <c r="AJ245" s="42">
        <v>-0.3924433829085881</v>
      </c>
      <c r="AK245" s="9"/>
      <c r="AM245" s="9"/>
      <c r="AN245" s="9"/>
      <c r="AO245" s="9"/>
      <c r="AP245" s="9"/>
      <c r="AQ245" s="9"/>
      <c r="AR245" s="9"/>
      <c r="AS245" s="9"/>
      <c r="AU245" s="9"/>
      <c r="AV245" s="9"/>
      <c r="AW245" s="15"/>
      <c r="BC245" s="9"/>
      <c r="BD245" s="9"/>
      <c r="BE245" s="9"/>
      <c r="BF245" s="9"/>
      <c r="BG245" s="9"/>
      <c r="BQ245" s="9"/>
      <c r="BT245" s="9"/>
      <c r="BW245" s="2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</row>
    <row r="246" spans="1:87">
      <c r="A246" s="13">
        <v>39264</v>
      </c>
      <c r="B246" s="12">
        <v>14941.511</v>
      </c>
      <c r="C246" s="9">
        <v>0</v>
      </c>
      <c r="D246" s="24">
        <v>48241</v>
      </c>
      <c r="E246" s="12">
        <v>97.525999999999996</v>
      </c>
      <c r="F246" s="12">
        <v>106.22799999999999</v>
      </c>
      <c r="G246" s="12">
        <v>110.027</v>
      </c>
      <c r="H246" s="34">
        <v>711</v>
      </c>
      <c r="I246" s="34">
        <v>14456.4</v>
      </c>
      <c r="J246" s="35">
        <v>97.32</v>
      </c>
      <c r="K246" s="35">
        <v>96.546999999999997</v>
      </c>
      <c r="L246" s="35">
        <v>99.197999999999993</v>
      </c>
      <c r="M246" s="5">
        <v>-1.4263979180493744</v>
      </c>
      <c r="N246" s="5">
        <v>-2.2607049754785757</v>
      </c>
      <c r="O246" s="5">
        <v>-2.0387071807791384</v>
      </c>
      <c r="P246" s="6">
        <v>1</v>
      </c>
      <c r="Q246" s="6">
        <v>1</v>
      </c>
      <c r="R246" s="33">
        <v>0</v>
      </c>
      <c r="S246" s="5"/>
      <c r="T246" s="39">
        <v>0</v>
      </c>
      <c r="U246">
        <v>0</v>
      </c>
      <c r="V246" s="9">
        <v>9.49819999999999E-2</v>
      </c>
      <c r="W246" s="38">
        <v>0</v>
      </c>
      <c r="X246" s="38">
        <v>85.8</v>
      </c>
      <c r="Y246" s="38">
        <v>100.3</v>
      </c>
      <c r="Z246" s="38">
        <v>76.400000000000006</v>
      </c>
      <c r="AA246" s="9">
        <v>1.2</v>
      </c>
      <c r="AB246" s="9">
        <v>1</v>
      </c>
      <c r="AC246" s="38">
        <v>1.7644591754724104E-2</v>
      </c>
      <c r="AD246" s="38">
        <v>0</v>
      </c>
      <c r="AE246" s="9">
        <v>2.242960795554727</v>
      </c>
      <c r="AF246" s="38">
        <v>0</v>
      </c>
      <c r="AG246" s="9">
        <v>0.86110071134406496</v>
      </c>
      <c r="AH246" s="41">
        <v>0</v>
      </c>
      <c r="AI246" s="42">
        <v>-0.50972583402876293</v>
      </c>
      <c r="AJ246" s="42">
        <v>-0.65018192585649137</v>
      </c>
      <c r="AK246" s="9"/>
      <c r="AM246" s="9"/>
      <c r="AN246" s="9"/>
      <c r="AO246" s="9"/>
      <c r="AP246" s="9"/>
      <c r="AQ246" s="9"/>
      <c r="AR246" s="9"/>
      <c r="AS246" s="9"/>
      <c r="AU246" s="9"/>
      <c r="AV246" s="9"/>
      <c r="AW246" s="15"/>
      <c r="BC246" s="9"/>
      <c r="BD246" s="9"/>
      <c r="BE246" s="9"/>
      <c r="BF246" s="9"/>
      <c r="BG246" s="9"/>
      <c r="BQ246" s="9"/>
      <c r="BT246" s="9"/>
      <c r="BW246" s="2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</row>
    <row r="247" spans="1:87">
      <c r="A247" s="13">
        <v>39356</v>
      </c>
      <c r="B247" s="12">
        <v>14996.054</v>
      </c>
      <c r="C247" s="9">
        <v>1</v>
      </c>
      <c r="D247" s="24">
        <v>48509</v>
      </c>
      <c r="E247" s="12">
        <v>97.959000000000003</v>
      </c>
      <c r="F247" s="12">
        <v>106.509</v>
      </c>
      <c r="G247" s="12">
        <v>109.758</v>
      </c>
      <c r="H247" s="34">
        <v>633.20000000000005</v>
      </c>
      <c r="I247" s="34">
        <v>14513.7</v>
      </c>
      <c r="J247" s="35">
        <v>98.293999999999997</v>
      </c>
      <c r="K247" s="35">
        <v>97.04</v>
      </c>
      <c r="L247" s="35">
        <v>99.075999999999993</v>
      </c>
      <c r="M247" s="5">
        <v>-0.1934087209748242</v>
      </c>
      <c r="N247" s="5">
        <v>-0.24749252650107362</v>
      </c>
      <c r="O247" s="5">
        <v>-2.0332030034619883</v>
      </c>
      <c r="P247" s="6">
        <v>1</v>
      </c>
      <c r="Q247" s="6">
        <v>1</v>
      </c>
      <c r="R247" s="33">
        <v>0</v>
      </c>
      <c r="S247" s="5"/>
      <c r="T247" s="39">
        <v>-6</v>
      </c>
      <c r="U247">
        <v>5.2335746585884649E-2</v>
      </c>
      <c r="V247" s="9">
        <v>1.1759448000000061E-2</v>
      </c>
      <c r="W247" s="38">
        <v>0</v>
      </c>
      <c r="X247" s="38">
        <v>77.5</v>
      </c>
      <c r="Y247" s="38">
        <v>93.4</v>
      </c>
      <c r="Z247" s="38">
        <v>67.3</v>
      </c>
      <c r="AA247" s="9">
        <v>0.2</v>
      </c>
      <c r="AB247" s="9">
        <v>1</v>
      </c>
      <c r="AC247" s="38">
        <v>1.1816973711641143E-2</v>
      </c>
      <c r="AD247" s="38">
        <v>0</v>
      </c>
      <c r="AE247" s="9">
        <v>2.0158353474970747</v>
      </c>
      <c r="AF247" s="38">
        <v>0</v>
      </c>
      <c r="AG247" s="9">
        <v>0.36191536748329156</v>
      </c>
      <c r="AH247" s="41">
        <v>0</v>
      </c>
      <c r="AI247" s="42">
        <v>-2.1946842888150009</v>
      </c>
      <c r="AJ247" s="42">
        <v>-1.9895615335010379</v>
      </c>
      <c r="AK247" s="9"/>
      <c r="AM247" s="9"/>
      <c r="AN247" s="9"/>
      <c r="AO247" s="9"/>
      <c r="AP247" s="9"/>
      <c r="AQ247" s="9"/>
      <c r="AR247" s="9"/>
      <c r="AS247" s="9"/>
      <c r="AU247" s="9"/>
      <c r="AV247" s="9"/>
      <c r="AW247" s="15"/>
      <c r="BC247" s="9"/>
      <c r="BD247" s="9"/>
      <c r="BE247" s="9"/>
      <c r="BF247" s="9"/>
      <c r="BG247" s="9"/>
      <c r="BQ247" s="9"/>
      <c r="BT247" s="9"/>
      <c r="BW247" s="2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</row>
    <row r="248" spans="1:87">
      <c r="A248" s="13">
        <v>39448</v>
      </c>
      <c r="B248" s="12">
        <v>14895.352999999999</v>
      </c>
      <c r="C248" s="9">
        <v>1</v>
      </c>
      <c r="D248" s="24">
        <v>48347</v>
      </c>
      <c r="E248" s="12">
        <v>98.507000000000005</v>
      </c>
      <c r="F248" s="12">
        <v>105.265</v>
      </c>
      <c r="G248" s="12">
        <v>109.438</v>
      </c>
      <c r="H248" s="34">
        <v>610</v>
      </c>
      <c r="I248" s="34">
        <v>14621.9</v>
      </c>
      <c r="J248" s="35">
        <v>99.135999999999996</v>
      </c>
      <c r="K248" s="35">
        <v>96.186999999999998</v>
      </c>
      <c r="L248" s="35">
        <v>98.956000000000003</v>
      </c>
      <c r="M248" s="5">
        <v>-4.0688028074868967</v>
      </c>
      <c r="N248" s="5">
        <v>-2.4532451348531747</v>
      </c>
      <c r="O248" s="5">
        <v>-2.4875805138569955</v>
      </c>
      <c r="P248" s="6">
        <v>1</v>
      </c>
      <c r="Q248" s="6">
        <v>1</v>
      </c>
      <c r="R248" s="33">
        <v>0</v>
      </c>
      <c r="S248" s="5"/>
      <c r="T248" s="39">
        <v>-15.1</v>
      </c>
      <c r="U248">
        <v>0</v>
      </c>
      <c r="V248" s="9">
        <v>4.7150632999999997E-2</v>
      </c>
      <c r="X248" s="38">
        <v>72.900000000000006</v>
      </c>
      <c r="Y248" s="38">
        <v>87.5</v>
      </c>
      <c r="Z248" s="38">
        <v>63.5</v>
      </c>
      <c r="AA248" s="9">
        <v>0.1</v>
      </c>
      <c r="AB248" s="9">
        <v>1</v>
      </c>
      <c r="AC248" s="38">
        <v>1.3181938481171329E-2</v>
      </c>
      <c r="AD248" s="38">
        <v>0</v>
      </c>
      <c r="AE248" s="9">
        <v>-0.58488729429828634</v>
      </c>
      <c r="AF248" s="38">
        <v>0</v>
      </c>
      <c r="AG248" s="9">
        <v>1.0078594544613821</v>
      </c>
      <c r="AH248" s="41">
        <v>0</v>
      </c>
      <c r="AI248" s="42">
        <v>-2.2557596017249582</v>
      </c>
      <c r="AJ248" s="42">
        <v>-2.800855838408165</v>
      </c>
      <c r="AK248" s="9"/>
      <c r="AM248" s="9"/>
      <c r="AN248" s="9"/>
      <c r="AO248" s="9"/>
      <c r="AP248" s="9"/>
      <c r="AQ248" s="9"/>
      <c r="AR248" s="9"/>
      <c r="AS248" s="9"/>
      <c r="AU248" s="9"/>
      <c r="AV248" s="9"/>
      <c r="AW248" s="15"/>
      <c r="BC248" s="9"/>
      <c r="BD248" s="9"/>
      <c r="BE248" s="9"/>
      <c r="BF248" s="9"/>
      <c r="BG248" s="9"/>
      <c r="BT248" s="9"/>
      <c r="BW248" s="2"/>
      <c r="BY248" s="9"/>
      <c r="BZ248" s="9"/>
      <c r="CA248" s="9"/>
      <c r="CB248" s="9"/>
      <c r="CC248" s="9"/>
      <c r="CD248" s="9"/>
      <c r="CE248" s="9"/>
      <c r="CH248" s="9"/>
      <c r="CI248" s="9"/>
    </row>
    <row r="249" spans="1:87">
      <c r="A249" s="13">
        <v>39539</v>
      </c>
      <c r="B249" s="12">
        <v>14969.174000000001</v>
      </c>
      <c r="C249" s="9">
        <v>1</v>
      </c>
      <c r="D249" s="24">
        <v>48715</v>
      </c>
      <c r="E249" s="12">
        <v>98.983999999999995</v>
      </c>
      <c r="F249" s="12">
        <v>105.886</v>
      </c>
      <c r="G249" s="12">
        <v>108.91800000000001</v>
      </c>
      <c r="H249" s="34">
        <v>604.79999999999995</v>
      </c>
      <c r="I249" s="34">
        <v>14683.2</v>
      </c>
      <c r="J249" s="35">
        <v>100.172</v>
      </c>
      <c r="K249" s="35">
        <v>97.215999999999994</v>
      </c>
      <c r="L249" s="35">
        <v>97.777000000000001</v>
      </c>
      <c r="M249" s="5">
        <v>0.79368885739846973</v>
      </c>
      <c r="N249" s="5">
        <v>4.6034490227175686</v>
      </c>
      <c r="O249" s="5">
        <v>-4.9375126378719649</v>
      </c>
      <c r="P249" s="6">
        <v>1</v>
      </c>
      <c r="Q249" s="6">
        <v>1</v>
      </c>
      <c r="R249" s="33">
        <v>0</v>
      </c>
      <c r="S249" s="5"/>
      <c r="T249" s="39">
        <v>-22.6</v>
      </c>
      <c r="U249">
        <v>0</v>
      </c>
      <c r="V249" s="9">
        <v>-6.324954599999999E-2</v>
      </c>
      <c r="X249" s="38">
        <v>59.6</v>
      </c>
      <c r="Y249" s="38">
        <v>72.599999999999994</v>
      </c>
      <c r="Z249" s="38">
        <v>51.2</v>
      </c>
      <c r="AA249" s="9">
        <v>-0.9</v>
      </c>
      <c r="AB249" s="9">
        <v>1</v>
      </c>
      <c r="AC249" s="38">
        <v>-2.3154031038297052E-2</v>
      </c>
      <c r="AD249" s="38">
        <v>0</v>
      </c>
      <c r="AE249" s="9">
        <v>0.56094926621383934</v>
      </c>
      <c r="AF249" s="38">
        <v>0</v>
      </c>
      <c r="AG249" s="9">
        <v>-0.43939948736725398</v>
      </c>
      <c r="AH249" s="41">
        <v>0</v>
      </c>
      <c r="AI249" s="42">
        <v>0.18145998463944571</v>
      </c>
      <c r="AJ249" s="42">
        <v>3.0013578902542418E-2</v>
      </c>
      <c r="AK249" s="9"/>
      <c r="AM249" s="9"/>
      <c r="AN249" s="9"/>
      <c r="AO249" s="9"/>
      <c r="AP249" s="9"/>
      <c r="AQ249" s="9"/>
      <c r="AR249" s="9"/>
      <c r="AS249" s="9"/>
      <c r="AU249" s="9"/>
      <c r="AV249" s="9"/>
      <c r="AW249" s="15"/>
      <c r="BT249" s="9"/>
      <c r="BW249" s="2"/>
      <c r="BY249" s="9"/>
      <c r="BZ249" s="9"/>
      <c r="CA249" s="9"/>
      <c r="CB249" s="9"/>
      <c r="CC249" s="9"/>
      <c r="CD249" s="9"/>
      <c r="CE249" s="9"/>
      <c r="CH249" s="9"/>
      <c r="CI249" s="9"/>
    </row>
    <row r="250" spans="1:87">
      <c r="A250" s="13">
        <v>39630</v>
      </c>
      <c r="B250" s="12">
        <v>14895.057000000001</v>
      </c>
      <c r="C250" s="9">
        <v>1</v>
      </c>
      <c r="D250" s="24">
        <v>48686</v>
      </c>
      <c r="E250" s="12">
        <v>99.659000000000006</v>
      </c>
      <c r="F250" s="12">
        <v>105.051</v>
      </c>
      <c r="G250" s="12">
        <v>107.754</v>
      </c>
      <c r="H250" s="34">
        <v>619.20000000000005</v>
      </c>
      <c r="I250" s="34">
        <v>14722.1</v>
      </c>
      <c r="J250" s="35">
        <v>101.19499999999999</v>
      </c>
      <c r="K250" s="35">
        <v>97.492000000000004</v>
      </c>
      <c r="L250" s="35">
        <v>97.117999999999995</v>
      </c>
      <c r="M250" s="5">
        <v>-1.3788892547506912</v>
      </c>
      <c r="N250" s="5">
        <v>4.3648505730201155</v>
      </c>
      <c r="O250" s="5">
        <v>-3.5513682932426334</v>
      </c>
      <c r="P250" s="6">
        <v>1</v>
      </c>
      <c r="Q250" s="6">
        <v>1</v>
      </c>
      <c r="R250" s="33">
        <v>0</v>
      </c>
      <c r="S250" s="5"/>
      <c r="T250" s="39">
        <v>-34</v>
      </c>
      <c r="U250">
        <v>0</v>
      </c>
      <c r="V250" s="9">
        <v>8.3181117000000082E-2</v>
      </c>
      <c r="X250" s="38">
        <v>64.8</v>
      </c>
      <c r="Y250" s="38">
        <v>73</v>
      </c>
      <c r="Z250" s="38">
        <v>59.5</v>
      </c>
      <c r="AA250" s="9">
        <v>-1.8</v>
      </c>
      <c r="AB250" s="9">
        <v>1</v>
      </c>
      <c r="AC250" s="38">
        <v>-2.0632358174126009E-2</v>
      </c>
      <c r="AD250" s="38">
        <v>0</v>
      </c>
      <c r="AE250" s="9">
        <v>0.85482470393756227</v>
      </c>
      <c r="AF250" s="38">
        <v>0</v>
      </c>
      <c r="AG250" s="9">
        <v>-0.39536594336153996</v>
      </c>
      <c r="AH250" s="41">
        <v>0</v>
      </c>
      <c r="AI250" s="42">
        <v>0.57328046687447054</v>
      </c>
      <c r="AJ250" s="42">
        <v>0.54249985790496169</v>
      </c>
      <c r="AK250" s="9"/>
      <c r="AM250" s="9"/>
      <c r="AN250" s="9"/>
      <c r="AO250" s="9"/>
      <c r="AP250" s="9"/>
      <c r="AQ250" s="9"/>
      <c r="AR250" s="9"/>
      <c r="AS250" s="9"/>
      <c r="AU250" s="9"/>
      <c r="AV250" s="9"/>
      <c r="AW250" s="15"/>
      <c r="BT250" s="9"/>
      <c r="BW250" s="2"/>
      <c r="BY250" s="9"/>
      <c r="BZ250" s="9"/>
      <c r="CA250" s="9"/>
      <c r="CB250" s="9"/>
      <c r="CC250" s="9"/>
      <c r="CD250" s="9"/>
      <c r="CE250" s="9"/>
      <c r="CH250" s="9"/>
      <c r="CI250" s="9"/>
    </row>
    <row r="251" spans="1:87">
      <c r="A251" s="13">
        <v>39722</v>
      </c>
      <c r="B251" s="12">
        <v>14574.644</v>
      </c>
      <c r="C251" s="9">
        <v>1</v>
      </c>
      <c r="D251" s="24">
        <v>47598</v>
      </c>
      <c r="E251" s="12">
        <v>99.808000000000007</v>
      </c>
      <c r="F251" s="12">
        <v>101.745</v>
      </c>
      <c r="G251" s="12">
        <v>105.045</v>
      </c>
      <c r="H251" s="34">
        <v>443.1</v>
      </c>
      <c r="I251" s="34">
        <v>14457.8</v>
      </c>
      <c r="J251" s="35">
        <v>99.748000000000005</v>
      </c>
      <c r="K251" s="35">
        <v>96.858999999999995</v>
      </c>
      <c r="L251" s="35">
        <v>100.501</v>
      </c>
      <c r="M251" s="5">
        <v>-6.5333339908241719</v>
      </c>
      <c r="N251" s="5">
        <v>3.5431576266997666E-4</v>
      </c>
      <c r="O251" s="5">
        <v>-2.7856999719484499</v>
      </c>
      <c r="P251" s="6">
        <v>1</v>
      </c>
      <c r="Q251" s="6">
        <v>1</v>
      </c>
      <c r="R251" s="33">
        <v>0</v>
      </c>
      <c r="S251" s="5"/>
      <c r="T251" s="39">
        <v>-47.2</v>
      </c>
      <c r="U251">
        <v>-1.6922444061929932E-2</v>
      </c>
      <c r="V251" s="9">
        <v>9.6853086999999949E-2</v>
      </c>
      <c r="X251" s="38">
        <v>57.7</v>
      </c>
      <c r="Y251" s="38">
        <v>61.9</v>
      </c>
      <c r="Z251" s="38">
        <v>55</v>
      </c>
      <c r="AA251" s="9">
        <v>-2.1</v>
      </c>
      <c r="AB251" s="9">
        <v>1</v>
      </c>
      <c r="AC251" s="38">
        <v>-6.0993832661024872E-2</v>
      </c>
      <c r="AD251" s="38">
        <v>0</v>
      </c>
      <c r="AE251" s="9">
        <v>-3.6184169532082477</v>
      </c>
      <c r="AF251" s="38">
        <v>0</v>
      </c>
      <c r="AG251" s="9">
        <v>-2.0308317178990194</v>
      </c>
      <c r="AH251" s="41">
        <v>0</v>
      </c>
      <c r="AI251" s="42">
        <v>0.88913003257009571</v>
      </c>
      <c r="AJ251" s="42">
        <v>0.56386487952170661</v>
      </c>
      <c r="AK251" s="9"/>
      <c r="AM251" s="9"/>
      <c r="AN251" s="9"/>
      <c r="AO251" s="9"/>
      <c r="AP251" s="9"/>
      <c r="AQ251" s="9"/>
      <c r="AR251" s="9"/>
      <c r="AS251" s="9"/>
      <c r="AU251" s="9"/>
      <c r="AV251" s="9"/>
      <c r="AW251" s="15"/>
      <c r="BT251" s="9"/>
      <c r="BW251" s="2"/>
      <c r="BY251" s="9"/>
      <c r="BZ251" s="9"/>
      <c r="CA251" s="9"/>
      <c r="CB251" s="9"/>
      <c r="CC251" s="9"/>
      <c r="CD251" s="9"/>
      <c r="CE251" s="9"/>
      <c r="CH251" s="9"/>
      <c r="CI251" s="9"/>
    </row>
    <row r="252" spans="1:87">
      <c r="A252" s="13">
        <v>39814</v>
      </c>
      <c r="B252" s="12">
        <v>14372.08</v>
      </c>
      <c r="C252" s="9">
        <v>1</v>
      </c>
      <c r="D252" s="24">
        <v>46961</v>
      </c>
      <c r="E252" s="12">
        <v>100.06399999999999</v>
      </c>
      <c r="F252" s="12">
        <v>99.8</v>
      </c>
      <c r="G252" s="12">
        <v>102.264</v>
      </c>
      <c r="H252" s="34">
        <v>689.3</v>
      </c>
      <c r="I252" s="34">
        <v>14269.7</v>
      </c>
      <c r="J252" s="35">
        <v>99.183999999999997</v>
      </c>
      <c r="K252" s="35">
        <v>97.59</v>
      </c>
      <c r="L252" s="35">
        <v>98.671000000000006</v>
      </c>
      <c r="M252" s="5">
        <v>-2.8731762053054872</v>
      </c>
      <c r="N252" s="5">
        <v>2.7394066035321414</v>
      </c>
      <c r="O252" s="5">
        <v>-4.4946299844528781</v>
      </c>
      <c r="P252" s="6">
        <v>1</v>
      </c>
      <c r="Q252" s="6">
        <v>1</v>
      </c>
      <c r="R252" s="33">
        <v>0</v>
      </c>
      <c r="S252" s="5"/>
      <c r="T252" s="39">
        <v>-16</v>
      </c>
      <c r="U252">
        <v>0</v>
      </c>
      <c r="V252" s="9"/>
      <c r="X252" s="38">
        <v>58.3</v>
      </c>
      <c r="Y252" s="38">
        <v>65.099999999999994</v>
      </c>
      <c r="Z252" s="38">
        <v>54</v>
      </c>
      <c r="AA252" s="9">
        <v>-1.5</v>
      </c>
      <c r="AB252" s="9">
        <v>1</v>
      </c>
      <c r="AC252" s="38">
        <v>-6.6369438913260081E-2</v>
      </c>
      <c r="AD252" s="38">
        <v>0</v>
      </c>
      <c r="AE252" s="9">
        <v>-7.9379818944218528</v>
      </c>
      <c r="AF252" s="38">
        <v>0</v>
      </c>
      <c r="AG252" s="9">
        <v>-4.0799020069725742</v>
      </c>
      <c r="AH252" s="41">
        <v>0</v>
      </c>
      <c r="AI252" s="42">
        <v>0.66473519326310904</v>
      </c>
      <c r="AJ252" s="42">
        <v>0.51838514615496623</v>
      </c>
      <c r="AM252" s="9"/>
      <c r="AN252" s="9"/>
      <c r="AO252" s="9"/>
      <c r="AP252" s="9"/>
      <c r="AQ252" s="9"/>
      <c r="AR252" s="9"/>
      <c r="AS252" s="9"/>
      <c r="AU252" s="9"/>
      <c r="AV252" s="9"/>
      <c r="AW252" s="15"/>
      <c r="BT252" s="9"/>
      <c r="BW252" s="2"/>
      <c r="BY252" s="9"/>
      <c r="BZ252" s="9"/>
      <c r="CA252" s="9"/>
      <c r="CB252" s="9"/>
      <c r="CC252" s="9"/>
      <c r="CD252" s="9"/>
      <c r="CE252" s="9"/>
      <c r="CH252" s="9"/>
      <c r="CI252" s="9"/>
    </row>
    <row r="253" spans="1:87">
      <c r="A253" s="13">
        <v>39904</v>
      </c>
      <c r="B253" s="12">
        <v>14356.903</v>
      </c>
      <c r="C253" s="9">
        <v>1</v>
      </c>
      <c r="D253" s="24">
        <v>46737</v>
      </c>
      <c r="E253" s="12">
        <v>99.897000000000006</v>
      </c>
      <c r="F253" s="12">
        <v>99.516000000000005</v>
      </c>
      <c r="G253" s="12">
        <v>100.017</v>
      </c>
      <c r="H253" s="34">
        <v>733.6</v>
      </c>
      <c r="I253" s="34">
        <v>14243.7</v>
      </c>
      <c r="J253" s="35">
        <v>99.626999999999995</v>
      </c>
      <c r="K253" s="35">
        <v>99.498999999999995</v>
      </c>
      <c r="L253" s="35">
        <v>100.63500000000001</v>
      </c>
      <c r="M253" s="5">
        <v>3.3109664656279394</v>
      </c>
      <c r="N253" s="5">
        <v>6.3484025159336799</v>
      </c>
      <c r="O253" s="5">
        <v>-6.1400833485526807</v>
      </c>
      <c r="P253" s="6">
        <v>1</v>
      </c>
      <c r="Q253" s="6">
        <v>1</v>
      </c>
      <c r="R253" s="33">
        <v>0</v>
      </c>
      <c r="S253" s="5"/>
      <c r="T253" s="39">
        <v>-5.9</v>
      </c>
      <c r="U253">
        <v>0</v>
      </c>
      <c r="V253" s="9"/>
      <c r="X253" s="38">
        <v>68.2</v>
      </c>
      <c r="Y253" s="38">
        <v>69.8</v>
      </c>
      <c r="Z253" s="38">
        <v>67.3</v>
      </c>
      <c r="AA253" s="9">
        <v>-0.2</v>
      </c>
      <c r="AB253" s="9">
        <v>1</v>
      </c>
      <c r="AC253" s="38">
        <v>5.2450748654142565E-4</v>
      </c>
      <c r="AD253" s="38">
        <v>0</v>
      </c>
      <c r="AE253" s="9">
        <v>-3.6994415042206907</v>
      </c>
      <c r="AF253" s="38">
        <v>0</v>
      </c>
      <c r="AG253" s="9">
        <v>0.24557956777995571</v>
      </c>
      <c r="AH253" s="41">
        <v>0</v>
      </c>
      <c r="AI253" s="42">
        <v>1.0579666065204349</v>
      </c>
      <c r="AJ253" s="42">
        <v>1.0713995977490749</v>
      </c>
      <c r="AM253" s="9"/>
      <c r="AN253" s="9"/>
      <c r="AO253" s="9"/>
      <c r="AP253" s="9"/>
      <c r="AQ253" s="9"/>
      <c r="AR253" s="9"/>
      <c r="AS253" s="9"/>
      <c r="AU253" s="9"/>
      <c r="AV253" s="9"/>
      <c r="AW253" s="15"/>
      <c r="BW253" s="2"/>
      <c r="BY253" s="9"/>
      <c r="BZ253" s="9"/>
      <c r="CA253" s="9"/>
      <c r="CB253" s="9"/>
      <c r="CC253" s="9"/>
      <c r="CD253" s="9"/>
      <c r="CE253" s="9"/>
      <c r="CH253" s="9"/>
      <c r="CI253" s="9"/>
    </row>
    <row r="254" spans="1:87">
      <c r="A254" s="13">
        <v>39995</v>
      </c>
      <c r="B254" s="12">
        <v>14402.546</v>
      </c>
      <c r="C254" s="9">
        <v>0</v>
      </c>
      <c r="D254" s="24">
        <v>46767</v>
      </c>
      <c r="E254" s="12">
        <v>99.873999999999995</v>
      </c>
      <c r="F254" s="12">
        <v>99.725999999999999</v>
      </c>
      <c r="G254" s="12">
        <v>98.817999999999998</v>
      </c>
      <c r="H254" s="34">
        <v>801.6</v>
      </c>
      <c r="I254" s="34">
        <v>14310.1</v>
      </c>
      <c r="J254" s="35">
        <v>100.252</v>
      </c>
      <c r="K254" s="35">
        <v>100.919</v>
      </c>
      <c r="L254" s="35">
        <v>100.43600000000001</v>
      </c>
      <c r="M254" s="5">
        <v>4.6257235676916215</v>
      </c>
      <c r="N254" s="5">
        <v>4.1529710770309771</v>
      </c>
      <c r="O254" s="5">
        <v>-5.9575926825708585</v>
      </c>
      <c r="P254" s="6">
        <v>1</v>
      </c>
      <c r="Q254" s="6">
        <v>1</v>
      </c>
      <c r="R254" s="33">
        <v>0</v>
      </c>
      <c r="S254" s="5"/>
      <c r="T254" s="39">
        <v>-6</v>
      </c>
      <c r="U254">
        <v>0</v>
      </c>
      <c r="V254" s="9"/>
      <c r="X254" s="38">
        <v>68.400000000000006</v>
      </c>
      <c r="Y254" s="38">
        <v>70.2</v>
      </c>
      <c r="Z254" s="38">
        <v>67.2</v>
      </c>
      <c r="AA254" s="9">
        <v>0.4</v>
      </c>
      <c r="AB254" s="9">
        <v>1</v>
      </c>
      <c r="AC254" s="38">
        <v>5.4199168963300348E-3</v>
      </c>
      <c r="AD254" s="38">
        <v>0</v>
      </c>
      <c r="AE254" s="9">
        <v>1.6959337255945783</v>
      </c>
      <c r="AF254" s="38">
        <v>0</v>
      </c>
      <c r="AG254" s="9">
        <v>0.79372856442920181</v>
      </c>
      <c r="AH254" s="41">
        <v>0</v>
      </c>
      <c r="AI254" s="42">
        <v>0.66993511378622517</v>
      </c>
      <c r="AJ254" s="42">
        <v>0.44437890542084812</v>
      </c>
      <c r="AM254" s="9"/>
      <c r="AN254" s="9"/>
      <c r="AO254" s="9"/>
      <c r="AP254" s="9"/>
      <c r="AQ254" s="9"/>
      <c r="AR254" s="9"/>
      <c r="AS254" s="9"/>
      <c r="AU254" s="9"/>
      <c r="AV254" s="9"/>
      <c r="AW254" s="15"/>
      <c r="BW254" s="2"/>
      <c r="BY254" s="9"/>
      <c r="BZ254" s="9"/>
      <c r="CA254" s="9"/>
      <c r="CB254" s="9"/>
      <c r="CC254" s="9"/>
      <c r="CD254" s="9"/>
      <c r="CE254" s="9"/>
      <c r="CH254" s="9"/>
      <c r="CI254" s="9"/>
    </row>
    <row r="255" spans="1:87">
      <c r="A255" s="13">
        <v>40087</v>
      </c>
      <c r="B255" s="12">
        <v>14540.242</v>
      </c>
      <c r="C255" s="9">
        <v>0</v>
      </c>
      <c r="D255" s="24">
        <v>47242</v>
      </c>
      <c r="E255" s="12">
        <v>100.164</v>
      </c>
      <c r="F255" s="12">
        <v>100.958</v>
      </c>
      <c r="G255" s="12">
        <v>98.902000000000001</v>
      </c>
      <c r="H255" s="34">
        <v>856.9</v>
      </c>
      <c r="I255" s="34">
        <v>14559.3</v>
      </c>
      <c r="J255" s="35">
        <v>100.938</v>
      </c>
      <c r="K255" s="35">
        <v>102.07899999999999</v>
      </c>
      <c r="L255" s="35">
        <v>100.24</v>
      </c>
      <c r="M255" s="5">
        <v>5.5353472697703303</v>
      </c>
      <c r="N255" s="5">
        <v>1.7331328512474524</v>
      </c>
      <c r="O255" s="5">
        <v>-5.5613755741677542</v>
      </c>
      <c r="P255" s="6">
        <v>1</v>
      </c>
      <c r="Q255" s="6">
        <v>1</v>
      </c>
      <c r="R255" s="33">
        <v>0</v>
      </c>
      <c r="S255" s="5"/>
      <c r="T255" s="39">
        <v>-1.9</v>
      </c>
      <c r="U255">
        <v>0</v>
      </c>
      <c r="V255" s="9"/>
      <c r="X255" s="38">
        <v>70.099999999999994</v>
      </c>
      <c r="Y255" s="38">
        <v>73.5</v>
      </c>
      <c r="Z255" s="38">
        <v>68</v>
      </c>
      <c r="AA255" s="9">
        <v>0.4</v>
      </c>
      <c r="AB255" s="9">
        <v>1</v>
      </c>
      <c r="AC255" s="38">
        <v>2.0970222799557847E-2</v>
      </c>
      <c r="AD255" s="38">
        <v>0</v>
      </c>
      <c r="AE255" s="9">
        <v>4.9814958422907507</v>
      </c>
      <c r="AF255" s="38">
        <v>0</v>
      </c>
      <c r="AG255" s="9">
        <v>0.91386350379156056</v>
      </c>
      <c r="AH255" s="41">
        <v>0</v>
      </c>
      <c r="AI255" s="42">
        <v>0.63073307324492944</v>
      </c>
      <c r="AJ255" s="42">
        <v>0.77638236985637954</v>
      </c>
      <c r="AM255" s="9"/>
      <c r="AN255" s="9"/>
      <c r="AO255" s="9"/>
      <c r="AP255" s="9"/>
      <c r="AQ255" s="9"/>
      <c r="AR255" s="9"/>
      <c r="AS255" s="9"/>
      <c r="AU255" s="9"/>
      <c r="AV255" s="9"/>
      <c r="AW255" s="15"/>
      <c r="BW255" s="2"/>
      <c r="BY255" s="9"/>
      <c r="BZ255" s="9"/>
      <c r="CA255" s="9"/>
      <c r="CB255" s="9"/>
      <c r="CC255" s="9"/>
      <c r="CD255" s="9"/>
      <c r="CE255" s="9"/>
      <c r="CH255" s="9"/>
      <c r="CI255" s="9"/>
    </row>
    <row r="256" spans="1:87">
      <c r="A256" s="13">
        <v>40179</v>
      </c>
      <c r="B256" s="12">
        <v>14597.663</v>
      </c>
      <c r="C256" s="9">
        <v>0</v>
      </c>
      <c r="D256" s="24">
        <v>47499</v>
      </c>
      <c r="E256" s="12">
        <v>100.51300000000001</v>
      </c>
      <c r="F256" s="12">
        <v>101.47499999999999</v>
      </c>
      <c r="G256" s="12">
        <v>98.945999999999998</v>
      </c>
      <c r="H256" s="34">
        <v>912.9</v>
      </c>
      <c r="I256" s="34">
        <v>14627.4</v>
      </c>
      <c r="J256" s="35">
        <v>101.282</v>
      </c>
      <c r="K256" s="35">
        <v>102.556</v>
      </c>
      <c r="L256" s="35">
        <v>99.39</v>
      </c>
      <c r="M256" s="5">
        <v>-1.4548328296292046E-2</v>
      </c>
      <c r="N256" s="5">
        <v>-5.9070864004964632</v>
      </c>
      <c r="O256" s="5">
        <v>-5.8389815485989445</v>
      </c>
      <c r="P256" s="6">
        <v>1</v>
      </c>
      <c r="Q256" s="6">
        <v>1</v>
      </c>
      <c r="R256" s="33">
        <v>0</v>
      </c>
      <c r="S256" s="5"/>
      <c r="T256" s="39">
        <v>9.6</v>
      </c>
      <c r="U256">
        <v>0</v>
      </c>
      <c r="V256" s="9"/>
      <c r="X256" s="38">
        <v>73.900000000000006</v>
      </c>
      <c r="Y256" s="38">
        <v>81.8</v>
      </c>
      <c r="Z256" s="38">
        <v>68.8</v>
      </c>
      <c r="AA256" s="9">
        <v>0.6</v>
      </c>
      <c r="AB256" s="9">
        <v>1</v>
      </c>
      <c r="AC256" s="38">
        <v>1.2007384024156798E-2</v>
      </c>
      <c r="AD256" s="38">
        <v>0</v>
      </c>
      <c r="AE256" s="9">
        <v>5.5865044649222151</v>
      </c>
      <c r="AF256" s="38">
        <v>0</v>
      </c>
      <c r="AG256" s="9">
        <v>0.66473988439305742</v>
      </c>
      <c r="AH256" s="41">
        <v>0</v>
      </c>
      <c r="AI256" s="42">
        <v>0.1279118886759277</v>
      </c>
      <c r="AJ256" s="42">
        <v>0.79058521677610882</v>
      </c>
      <c r="AM256" s="9"/>
      <c r="AN256" s="9"/>
      <c r="AO256" s="9"/>
      <c r="AP256" s="9"/>
      <c r="AQ256" s="9"/>
      <c r="AR256" s="9"/>
      <c r="AS256" s="9"/>
      <c r="AU256" s="9"/>
      <c r="AV256" s="9"/>
      <c r="BW256" s="2"/>
      <c r="BY256" s="9"/>
      <c r="BZ256" s="9"/>
      <c r="CA256" s="9"/>
      <c r="CB256" s="9"/>
      <c r="CC256" s="9"/>
      <c r="CD256" s="9"/>
      <c r="CE256" s="9"/>
      <c r="CH256" s="9"/>
      <c r="CI256" s="9"/>
    </row>
    <row r="257" spans="1:87">
      <c r="A257" s="13">
        <v>40269</v>
      </c>
      <c r="B257" s="12">
        <v>14738.019</v>
      </c>
      <c r="C257" s="9">
        <v>0</v>
      </c>
      <c r="D257" s="24">
        <v>48082</v>
      </c>
      <c r="E257" s="12">
        <v>100.958</v>
      </c>
      <c r="F257" s="12">
        <v>102.651</v>
      </c>
      <c r="G257" s="12">
        <v>99.727000000000004</v>
      </c>
      <c r="H257" s="34">
        <v>914.7</v>
      </c>
      <c r="I257" s="34">
        <v>14793.7</v>
      </c>
      <c r="J257" s="35">
        <v>101.398</v>
      </c>
      <c r="K257" s="35">
        <v>102.932</v>
      </c>
      <c r="L257" s="35">
        <v>100.672</v>
      </c>
      <c r="M257" s="5">
        <v>2.5895784960010415</v>
      </c>
      <c r="N257" s="5">
        <v>-3.5875521647606128</v>
      </c>
      <c r="O257" s="5">
        <v>-5.8813937843155868</v>
      </c>
      <c r="P257" s="6">
        <v>1</v>
      </c>
      <c r="Q257" s="6">
        <v>1</v>
      </c>
      <c r="R257" s="33">
        <v>0</v>
      </c>
      <c r="S257" s="5"/>
      <c r="T257" s="39">
        <v>14</v>
      </c>
      <c r="U257">
        <v>0</v>
      </c>
      <c r="V257" s="9"/>
      <c r="X257" s="38">
        <v>73.900000000000006</v>
      </c>
      <c r="Y257" s="38">
        <v>82.5</v>
      </c>
      <c r="Z257" s="38">
        <v>68.400000000000006</v>
      </c>
      <c r="AA257" s="9">
        <v>0.7</v>
      </c>
      <c r="AB257" s="9">
        <v>1</v>
      </c>
      <c r="AC257" s="38">
        <v>2.7067943104027714E-2</v>
      </c>
      <c r="AD257" s="38">
        <v>0</v>
      </c>
      <c r="AE257" s="9">
        <v>2.2889641615299938</v>
      </c>
      <c r="AF257" s="38">
        <v>0</v>
      </c>
      <c r="AG257" s="9">
        <v>2.2107378696526041</v>
      </c>
      <c r="AH257" s="41">
        <v>0</v>
      </c>
      <c r="AI257" s="42">
        <v>0.39518558032406609</v>
      </c>
      <c r="AJ257" s="42">
        <v>0.19578152847411101</v>
      </c>
      <c r="AM257" s="9"/>
      <c r="AN257" s="9"/>
      <c r="AO257" s="9"/>
      <c r="AP257" s="9"/>
      <c r="AQ257" s="9"/>
      <c r="AR257" s="9"/>
      <c r="AS257" s="9"/>
      <c r="AU257" s="9"/>
      <c r="AV257" s="9"/>
      <c r="BW257" s="2"/>
      <c r="BY257" s="9"/>
      <c r="BZ257" s="9"/>
      <c r="CA257" s="9"/>
      <c r="CB257" s="9"/>
      <c r="CC257" s="9"/>
      <c r="CD257" s="9"/>
      <c r="CE257" s="9"/>
      <c r="CH257" s="9"/>
      <c r="CI257" s="9"/>
    </row>
    <row r="258" spans="1:87">
      <c r="A258" s="13">
        <v>40360</v>
      </c>
      <c r="B258" s="12">
        <v>14839.32</v>
      </c>
      <c r="C258" s="9">
        <v>0</v>
      </c>
      <c r="D258" s="24">
        <v>48537</v>
      </c>
      <c r="E258" s="12">
        <v>101.41800000000001</v>
      </c>
      <c r="F258" s="12">
        <v>103.717</v>
      </c>
      <c r="G258" s="12">
        <v>100.178</v>
      </c>
      <c r="H258" s="33">
        <v>1034.9000000000001</v>
      </c>
      <c r="I258" s="34">
        <v>15050.5</v>
      </c>
      <c r="J258" s="35">
        <v>101.69799999999999</v>
      </c>
      <c r="K258" s="35">
        <v>103.532</v>
      </c>
      <c r="L258" s="35">
        <v>100.901</v>
      </c>
      <c r="M258" s="5">
        <v>3.6222967231383718</v>
      </c>
      <c r="N258" s="5">
        <v>-1.1729787366642359</v>
      </c>
      <c r="O258" s="5">
        <v>-5.7763815859918637</v>
      </c>
      <c r="P258" s="6">
        <v>1</v>
      </c>
      <c r="Q258" s="6">
        <v>1</v>
      </c>
      <c r="R258" s="33">
        <v>0</v>
      </c>
      <c r="S258" s="5"/>
      <c r="T258" s="39">
        <v>22.6</v>
      </c>
      <c r="U258">
        <v>0</v>
      </c>
      <c r="V258" s="9"/>
      <c r="X258" s="38">
        <v>68.3</v>
      </c>
      <c r="Y258" s="38">
        <v>78.099999999999994</v>
      </c>
      <c r="Z258" s="38">
        <v>62</v>
      </c>
      <c r="AA258" s="9">
        <v>0.6</v>
      </c>
      <c r="AB258" s="38">
        <v>0</v>
      </c>
      <c r="AC258" s="38">
        <v>1.6923188389670552E-2</v>
      </c>
      <c r="AD258" s="38">
        <v>0</v>
      </c>
      <c r="AE258" s="9">
        <v>2.4630977589779279</v>
      </c>
      <c r="AF258" s="38">
        <v>0</v>
      </c>
      <c r="AG258" s="9">
        <v>0.70224719101123867</v>
      </c>
      <c r="AH258" s="41">
        <v>0</v>
      </c>
      <c r="AI258" s="42">
        <v>0.65436453370355518</v>
      </c>
      <c r="AJ258" s="42">
        <v>0.2820308663450305</v>
      </c>
      <c r="AM258" s="9"/>
      <c r="AN258" s="9"/>
      <c r="AO258" s="9"/>
      <c r="AP258" s="9"/>
      <c r="AQ258" s="9"/>
      <c r="AR258" s="9"/>
      <c r="AS258" s="9"/>
      <c r="AU258" s="9"/>
      <c r="AV258" s="9"/>
      <c r="BW258" s="2"/>
      <c r="BY258" s="9"/>
      <c r="BZ258" s="9"/>
      <c r="CA258" s="9"/>
      <c r="CB258" s="9"/>
      <c r="CC258" s="9"/>
      <c r="CD258" s="9"/>
      <c r="CE258" s="9"/>
      <c r="CH258" s="9"/>
      <c r="CI258" s="9"/>
    </row>
    <row r="259" spans="1:87">
      <c r="A259" s="13">
        <v>40452</v>
      </c>
      <c r="B259" s="12">
        <v>14942.4</v>
      </c>
      <c r="C259" s="9">
        <v>0</v>
      </c>
      <c r="D259" s="24">
        <v>49027</v>
      </c>
      <c r="E259" s="12">
        <v>101.93600000000001</v>
      </c>
      <c r="F259" s="12">
        <v>104.783</v>
      </c>
      <c r="G259" s="12">
        <v>100.687</v>
      </c>
      <c r="H259" s="33">
        <v>1036.8</v>
      </c>
      <c r="I259" s="34">
        <v>15189</v>
      </c>
      <c r="J259" s="35">
        <v>102.239</v>
      </c>
      <c r="K259" s="35">
        <v>104.068</v>
      </c>
      <c r="L259" s="35">
        <v>100.64100000000001</v>
      </c>
      <c r="M259" s="5">
        <v>0.6824946140672713</v>
      </c>
      <c r="N259" s="5">
        <v>-1.8088788823030248</v>
      </c>
      <c r="O259" s="5">
        <v>-5.6913738770039464</v>
      </c>
      <c r="P259" s="6">
        <v>1</v>
      </c>
      <c r="Q259" s="6">
        <v>1</v>
      </c>
      <c r="R259" s="33">
        <v>0</v>
      </c>
      <c r="S259" s="5"/>
      <c r="T259" s="39">
        <v>20</v>
      </c>
      <c r="U259">
        <v>-6.7096268799612139E-3</v>
      </c>
      <c r="V259" s="9"/>
      <c r="X259" s="38">
        <v>71.2</v>
      </c>
      <c r="Y259" s="38">
        <v>81.3</v>
      </c>
      <c r="Z259" s="38">
        <v>64.8</v>
      </c>
      <c r="AA259" s="9">
        <v>-0.4</v>
      </c>
      <c r="AB259" s="38">
        <v>0</v>
      </c>
      <c r="AC259" s="38">
        <v>1.4708784228813609E-2</v>
      </c>
      <c r="AD259" s="38">
        <v>0</v>
      </c>
      <c r="AE259" s="9">
        <v>3.0857802235118692</v>
      </c>
      <c r="AF259" s="38">
        <v>0</v>
      </c>
      <c r="AG259" s="9">
        <v>0.60437006043700592</v>
      </c>
      <c r="AH259" s="41">
        <v>0</v>
      </c>
      <c r="AI259" s="42">
        <v>0.5004429502116331</v>
      </c>
      <c r="AJ259" s="42">
        <v>-0.1093412033499787</v>
      </c>
      <c r="AM259" s="9"/>
      <c r="AN259" s="9"/>
      <c r="AO259" s="9"/>
      <c r="AP259" s="9"/>
      <c r="AQ259" s="9"/>
      <c r="AR259" s="9"/>
      <c r="AS259" s="9"/>
      <c r="AU259" s="9"/>
      <c r="AV259" s="9"/>
      <c r="BW259" s="2"/>
      <c r="BY259" s="9"/>
      <c r="BZ259" s="9"/>
      <c r="CA259" s="9"/>
      <c r="CB259" s="9"/>
      <c r="CC259" s="9"/>
      <c r="CD259" s="9"/>
      <c r="CE259" s="9"/>
      <c r="CH259" s="9"/>
      <c r="CI259" s="9"/>
    </row>
    <row r="260" spans="1:87">
      <c r="A260" s="13">
        <v>40544</v>
      </c>
      <c r="B260" s="12">
        <v>14893.954</v>
      </c>
      <c r="C260" s="9">
        <v>0</v>
      </c>
      <c r="D260" s="24">
        <v>48982</v>
      </c>
      <c r="E260" s="12">
        <v>102.343</v>
      </c>
      <c r="F260" s="12">
        <v>104.22799999999999</v>
      </c>
      <c r="G260" s="12">
        <v>100.976</v>
      </c>
      <c r="H260" s="33">
        <v>934.2</v>
      </c>
      <c r="I260" s="34">
        <v>15326.2</v>
      </c>
      <c r="J260" s="35">
        <v>102.996</v>
      </c>
      <c r="K260" s="35">
        <v>103.221</v>
      </c>
      <c r="L260" s="35">
        <v>101.17100000000001</v>
      </c>
      <c r="M260" s="5">
        <v>-0.69822495078630831</v>
      </c>
      <c r="N260" s="5">
        <v>-0.95432151548309263</v>
      </c>
      <c r="O260" s="5">
        <v>-5.1738643729069409</v>
      </c>
      <c r="P260" s="6">
        <v>1</v>
      </c>
      <c r="Q260" s="6">
        <v>1</v>
      </c>
      <c r="R260" s="33">
        <v>0</v>
      </c>
      <c r="S260" s="5"/>
      <c r="T260" s="39">
        <v>20.399999999999999</v>
      </c>
      <c r="U260">
        <v>0</v>
      </c>
      <c r="V260" s="9"/>
      <c r="X260" s="38">
        <v>73.099999999999994</v>
      </c>
      <c r="Y260" s="38">
        <v>83.8</v>
      </c>
      <c r="Z260" s="38">
        <v>66.3</v>
      </c>
      <c r="AA260" s="9">
        <v>0.5</v>
      </c>
      <c r="AB260" s="38">
        <v>0</v>
      </c>
      <c r="AC260" s="38">
        <v>3.4628845137375963E-2</v>
      </c>
      <c r="AD260" s="38">
        <v>0</v>
      </c>
      <c r="AE260" s="9">
        <v>3.6061265554181654</v>
      </c>
      <c r="AF260" s="38">
        <v>0</v>
      </c>
      <c r="AG260" s="9">
        <v>1.2292051756007396</v>
      </c>
      <c r="AH260" s="41">
        <v>0</v>
      </c>
      <c r="AI260" s="42">
        <v>0.49784836138233152</v>
      </c>
      <c r="AJ260" s="42">
        <v>-2.045127642241399E-2</v>
      </c>
      <c r="AM260" s="9"/>
      <c r="AN260" s="9"/>
      <c r="AO260" s="9"/>
      <c r="AP260" s="9"/>
      <c r="AQ260" s="9"/>
      <c r="AR260" s="9"/>
      <c r="AS260" s="9"/>
      <c r="AU260" s="9"/>
      <c r="AV260" s="9"/>
      <c r="BW260" s="2"/>
      <c r="BY260" s="9"/>
      <c r="BZ260" s="9"/>
      <c r="CA260" s="9"/>
      <c r="CB260" s="9"/>
      <c r="CC260" s="9"/>
      <c r="CD260" s="9"/>
      <c r="CE260" s="9"/>
      <c r="CH260" s="9"/>
      <c r="CI260" s="9"/>
    </row>
    <row r="261" spans="1:87">
      <c r="A261" s="13">
        <v>40634</v>
      </c>
      <c r="B261" s="12">
        <v>15011.251</v>
      </c>
      <c r="C261" s="9">
        <v>0</v>
      </c>
      <c r="D261" s="24">
        <v>49602</v>
      </c>
      <c r="E261" s="12">
        <v>103.002</v>
      </c>
      <c r="F261" s="12">
        <v>105.429</v>
      </c>
      <c r="G261" s="12">
        <v>101.67</v>
      </c>
      <c r="H261" s="33">
        <v>1057</v>
      </c>
      <c r="I261" s="34">
        <v>15513.6</v>
      </c>
      <c r="J261" s="35">
        <v>103.938</v>
      </c>
      <c r="K261" s="35">
        <v>103.697</v>
      </c>
      <c r="L261" s="35">
        <v>99.766000000000005</v>
      </c>
      <c r="M261" s="5">
        <v>1.0898220566500134</v>
      </c>
      <c r="N261" s="5">
        <v>2.2035235767656234</v>
      </c>
      <c r="O261" s="5">
        <v>-5.601771671517791</v>
      </c>
      <c r="P261" s="6">
        <v>0</v>
      </c>
      <c r="Q261" s="6">
        <v>1</v>
      </c>
      <c r="R261" s="33">
        <v>0</v>
      </c>
      <c r="S261" s="5"/>
      <c r="T261" s="39">
        <v>28.8</v>
      </c>
      <c r="U261">
        <v>0</v>
      </c>
      <c r="V261" s="9"/>
      <c r="X261" s="38">
        <v>71.900000000000006</v>
      </c>
      <c r="Y261" s="38">
        <v>82.2</v>
      </c>
      <c r="Z261" s="38">
        <v>65.3</v>
      </c>
      <c r="AA261" s="9">
        <v>0.1</v>
      </c>
      <c r="AB261" s="38">
        <v>0</v>
      </c>
      <c r="AC261" s="38">
        <v>2.861314578567864E-3</v>
      </c>
      <c r="AD261" s="38">
        <v>0</v>
      </c>
      <c r="AE261" s="9">
        <v>-0.99097304791170293</v>
      </c>
      <c r="AF261" s="38">
        <v>0</v>
      </c>
      <c r="AG261" s="9">
        <v>0.45649593718614767</v>
      </c>
      <c r="AH261" s="41">
        <v>0</v>
      </c>
      <c r="AI261" s="42">
        <v>0.13168388963604891</v>
      </c>
      <c r="AJ261" s="42">
        <v>-0.12637768184906081</v>
      </c>
      <c r="AM261" s="9"/>
      <c r="AN261" s="9"/>
      <c r="AO261" s="9"/>
      <c r="AP261" s="9"/>
      <c r="AQ261" s="9"/>
      <c r="AR261" s="9"/>
      <c r="AS261" s="9"/>
      <c r="AU261" s="9"/>
      <c r="AV261" s="9"/>
      <c r="BW261" s="2"/>
      <c r="BY261" s="9"/>
      <c r="BZ261" s="9"/>
      <c r="CA261" s="9"/>
      <c r="CB261" s="9"/>
      <c r="CC261" s="9"/>
      <c r="CD261" s="9"/>
      <c r="CE261" s="9"/>
      <c r="CH261" s="9"/>
      <c r="CI261" s="9"/>
    </row>
    <row r="262" spans="1:87">
      <c r="A262" s="13">
        <v>40725</v>
      </c>
      <c r="B262" s="12">
        <v>15062.144</v>
      </c>
      <c r="C262" s="9">
        <v>0</v>
      </c>
      <c r="D262" s="24">
        <v>49987</v>
      </c>
      <c r="E262" s="12">
        <v>103.65</v>
      </c>
      <c r="F262" s="12">
        <v>105.883</v>
      </c>
      <c r="G262" s="12">
        <v>102.108</v>
      </c>
      <c r="H262" s="33">
        <v>1092</v>
      </c>
      <c r="I262" s="34">
        <v>15694.9</v>
      </c>
      <c r="J262" s="35">
        <v>104.529</v>
      </c>
      <c r="K262" s="35">
        <v>103.697</v>
      </c>
      <c r="L262" s="35">
        <v>99.775000000000006</v>
      </c>
      <c r="M262" s="5">
        <v>-0.73250680731700379</v>
      </c>
      <c r="N262" s="5">
        <v>0.59668071573809023</v>
      </c>
      <c r="O262" s="5">
        <v>-5.0593657276795021</v>
      </c>
      <c r="P262" s="6">
        <v>0</v>
      </c>
      <c r="Q262" s="6">
        <v>1</v>
      </c>
      <c r="R262" s="33">
        <v>0</v>
      </c>
      <c r="S262" s="5"/>
      <c r="T262" s="39">
        <v>26.9</v>
      </c>
      <c r="U262">
        <v>-2.592716349290582E-2</v>
      </c>
      <c r="V262" s="9"/>
      <c r="X262" s="38">
        <v>59.5</v>
      </c>
      <c r="Y262" s="38">
        <v>73.099999999999994</v>
      </c>
      <c r="Z262" s="38">
        <v>50.9</v>
      </c>
      <c r="AA262" s="9">
        <v>0.5</v>
      </c>
      <c r="AB262" s="38">
        <v>0</v>
      </c>
      <c r="AC262" s="38">
        <v>9.9042857602529288E-3</v>
      </c>
      <c r="AD262" s="38">
        <v>0</v>
      </c>
      <c r="AE262" s="9">
        <v>4.4785561347574054</v>
      </c>
      <c r="AF262" s="38">
        <v>0</v>
      </c>
      <c r="AG262" s="9">
        <v>0.36353721712261233</v>
      </c>
      <c r="AH262" s="41">
        <v>0</v>
      </c>
      <c r="AI262" s="42">
        <v>0.2068655419283407</v>
      </c>
      <c r="AJ262" s="42">
        <v>2.0334632183403301E-2</v>
      </c>
      <c r="AM262" s="9"/>
      <c r="AN262" s="9"/>
      <c r="AO262" s="9"/>
      <c r="AP262" s="9"/>
      <c r="AQ262" s="9"/>
      <c r="AR262" s="9"/>
      <c r="AS262" s="9"/>
      <c r="AU262" s="9"/>
      <c r="AV262" s="9"/>
      <c r="BW262" s="2"/>
      <c r="BY262" s="9"/>
      <c r="BZ262" s="9"/>
      <c r="CA262" s="9"/>
      <c r="CB262" s="9"/>
      <c r="CC262" s="9"/>
      <c r="CD262" s="9"/>
      <c r="CE262" s="9"/>
      <c r="CH262" s="9"/>
      <c r="CI262" s="9"/>
    </row>
    <row r="263" spans="1:87">
      <c r="A263" s="13">
        <v>40817</v>
      </c>
      <c r="B263" s="12">
        <v>15242.142</v>
      </c>
      <c r="C263" s="9">
        <v>0</v>
      </c>
      <c r="D263" s="24">
        <v>50552</v>
      </c>
      <c r="E263" s="12">
        <v>103.783</v>
      </c>
      <c r="F263" s="12">
        <v>107.413</v>
      </c>
      <c r="G263" s="12">
        <v>102.84099999999999</v>
      </c>
      <c r="H263" s="33">
        <v>1184.5999999999999</v>
      </c>
      <c r="I263" s="34">
        <v>15815.3</v>
      </c>
      <c r="J263" s="35">
        <v>104.88</v>
      </c>
      <c r="K263" s="35">
        <v>104.44499999999999</v>
      </c>
      <c r="L263" s="35">
        <v>98.265000000000001</v>
      </c>
      <c r="M263" s="5">
        <v>3.2694404930759182</v>
      </c>
      <c r="N263" s="5">
        <v>3.9318096664341819</v>
      </c>
      <c r="O263" s="5">
        <v>-4.8695558572262465</v>
      </c>
      <c r="P263" s="6">
        <v>0</v>
      </c>
      <c r="Q263" s="6">
        <v>1</v>
      </c>
      <c r="R263" s="33">
        <v>0</v>
      </c>
      <c r="S263" s="5"/>
      <c r="T263" s="39">
        <v>18.8</v>
      </c>
      <c r="U263">
        <v>-3.2051255523685186E-3</v>
      </c>
      <c r="V263" s="9"/>
      <c r="X263" s="38">
        <v>64.7</v>
      </c>
      <c r="Y263" s="38">
        <v>77.3</v>
      </c>
      <c r="Z263" s="38">
        <v>56.7</v>
      </c>
      <c r="AA263" s="9">
        <v>-0.4</v>
      </c>
      <c r="AB263" s="38">
        <v>0</v>
      </c>
      <c r="AC263" s="38">
        <v>1.0921888602803964E-3</v>
      </c>
      <c r="AD263" s="38">
        <v>0</v>
      </c>
      <c r="AE263" s="9">
        <v>1.8686439799929122</v>
      </c>
      <c r="AF263" s="38">
        <v>0</v>
      </c>
      <c r="AG263" s="9">
        <v>-0.1448881644480764</v>
      </c>
      <c r="AH263" s="41">
        <v>0</v>
      </c>
      <c r="AI263" s="42">
        <v>-3.4041986759928387E-2</v>
      </c>
      <c r="AJ263" s="42">
        <v>-0.35362936658700778</v>
      </c>
      <c r="AM263" s="9"/>
      <c r="AN263" s="9"/>
      <c r="AO263" s="9"/>
      <c r="AP263" s="9"/>
      <c r="AQ263" s="9"/>
      <c r="AR263" s="9"/>
      <c r="AS263" s="9"/>
      <c r="AU263" s="9"/>
      <c r="AV263" s="9"/>
      <c r="BW263" s="2"/>
      <c r="BY263" s="9"/>
      <c r="BZ263" s="9"/>
      <c r="CA263" s="9"/>
      <c r="CB263" s="9"/>
      <c r="CC263" s="9"/>
      <c r="CD263" s="9"/>
      <c r="CE263" s="9"/>
      <c r="CH263" s="9"/>
      <c r="CI263" s="9"/>
    </row>
    <row r="264" spans="1:87">
      <c r="A264" s="13">
        <v>40909</v>
      </c>
      <c r="B264" s="12">
        <v>15381.564</v>
      </c>
      <c r="C264" s="9">
        <v>0</v>
      </c>
      <c r="D264" s="24">
        <v>51182</v>
      </c>
      <c r="E264" s="12">
        <v>104.291</v>
      </c>
      <c r="F264" s="12">
        <v>108.727</v>
      </c>
      <c r="G264" s="12">
        <v>103.705</v>
      </c>
      <c r="H264" s="33">
        <v>1126.8</v>
      </c>
      <c r="I264" s="34">
        <v>16104.6</v>
      </c>
      <c r="J264" s="35">
        <v>105.471</v>
      </c>
      <c r="K264" s="35">
        <v>104.842</v>
      </c>
      <c r="L264" s="35">
        <v>99.828000000000003</v>
      </c>
      <c r="M264" s="5">
        <v>2.5019184007424182</v>
      </c>
      <c r="N264" s="5">
        <v>2.2378419359588069</v>
      </c>
      <c r="O264" s="5">
        <v>-4.112007508120592</v>
      </c>
      <c r="P264" s="6">
        <v>0</v>
      </c>
      <c r="Q264" s="6">
        <v>1</v>
      </c>
      <c r="R264" s="33">
        <v>0</v>
      </c>
      <c r="S264" s="5"/>
      <c r="T264" s="39">
        <v>11.5</v>
      </c>
      <c r="U264">
        <v>0</v>
      </c>
      <c r="V264" s="9"/>
      <c r="X264" s="38">
        <v>75.5</v>
      </c>
      <c r="Y264" s="38">
        <v>84.4</v>
      </c>
      <c r="Z264" s="38">
        <v>69.8</v>
      </c>
      <c r="AA264" s="9">
        <v>-0.3</v>
      </c>
      <c r="AB264" s="38">
        <v>0</v>
      </c>
      <c r="AC264" s="38">
        <v>6.7455868371624206E-4</v>
      </c>
      <c r="AD264" s="38">
        <v>0</v>
      </c>
      <c r="AE264" s="9">
        <v>1.8146093991041168</v>
      </c>
      <c r="AF264" s="38">
        <v>0</v>
      </c>
      <c r="AG264" s="9">
        <v>0.49877573229346694</v>
      </c>
      <c r="AH264" s="41">
        <v>0</v>
      </c>
      <c r="AI264" s="42">
        <v>0.31004894505728531</v>
      </c>
      <c r="AJ264" s="42">
        <v>5.3525188622586171E-2</v>
      </c>
      <c r="AM264" s="9"/>
      <c r="AN264" s="9"/>
      <c r="AO264" s="9"/>
      <c r="AP264" s="9"/>
      <c r="AQ264" s="9"/>
      <c r="AR264" s="9"/>
      <c r="AS264" s="9"/>
      <c r="AU264" s="9"/>
      <c r="AV264" s="9"/>
      <c r="BW264" s="2"/>
      <c r="BY264" s="9"/>
      <c r="BZ264" s="9"/>
      <c r="CA264" s="9"/>
      <c r="CB264" s="9"/>
      <c r="CC264" s="9"/>
      <c r="CD264" s="9"/>
      <c r="CE264" s="9"/>
      <c r="CH264" s="9"/>
      <c r="CI264" s="9"/>
    </row>
    <row r="265" spans="1:87">
      <c r="A265" s="13">
        <v>41000</v>
      </c>
      <c r="B265" s="12">
        <v>15427.67</v>
      </c>
      <c r="C265" s="9">
        <v>0</v>
      </c>
      <c r="D265" s="24">
        <v>51473</v>
      </c>
      <c r="E265" s="12">
        <v>104.75</v>
      </c>
      <c r="F265" s="12">
        <v>109.15600000000001</v>
      </c>
      <c r="G265" s="12">
        <v>103.804</v>
      </c>
      <c r="H265" s="33">
        <v>1139.4000000000001</v>
      </c>
      <c r="I265" s="34">
        <v>16150.3</v>
      </c>
      <c r="J265" s="35">
        <v>105.75</v>
      </c>
      <c r="K265" s="35">
        <v>105.15600000000001</v>
      </c>
      <c r="L265" s="35">
        <v>100.06399999999999</v>
      </c>
      <c r="M265" s="5">
        <v>-2.3592771823845196</v>
      </c>
      <c r="N265" s="5">
        <v>-3.1842415107971211</v>
      </c>
      <c r="O265" s="5">
        <v>-4.3688628589286429</v>
      </c>
      <c r="P265" s="6">
        <v>0</v>
      </c>
      <c r="Q265" s="6">
        <v>1</v>
      </c>
      <c r="R265" s="6">
        <v>0</v>
      </c>
      <c r="S265" s="5"/>
      <c r="T265" s="39">
        <v>23.6</v>
      </c>
      <c r="U265">
        <v>0</v>
      </c>
      <c r="V265" s="9"/>
      <c r="X265" s="38">
        <v>76.3</v>
      </c>
      <c r="Y265" s="38">
        <v>83.9</v>
      </c>
      <c r="Z265" s="38">
        <v>71.5</v>
      </c>
      <c r="AA265" s="9">
        <v>-0.4</v>
      </c>
      <c r="AB265" s="38">
        <v>0</v>
      </c>
      <c r="AC265" s="38">
        <v>-1.4985305781550773E-3</v>
      </c>
      <c r="AD265" s="38">
        <v>0</v>
      </c>
      <c r="AE265" s="9">
        <v>1.8235247617108374</v>
      </c>
      <c r="AF265" s="38">
        <v>0</v>
      </c>
      <c r="AG265" s="9">
        <v>0.27070925825665881</v>
      </c>
      <c r="AH265" s="41">
        <v>0</v>
      </c>
      <c r="AI265" s="42">
        <v>0.57820722285318615</v>
      </c>
      <c r="AJ265" s="42">
        <v>0.52471524902305045</v>
      </c>
      <c r="AM265" s="9"/>
      <c r="AN265" s="9"/>
      <c r="AO265" s="9"/>
      <c r="AP265" s="9"/>
      <c r="AQ265" s="9"/>
      <c r="AR265" s="9"/>
      <c r="AS265" s="9"/>
      <c r="AU265" s="9"/>
      <c r="AV265" s="9"/>
      <c r="BW265" s="2"/>
      <c r="BY265" s="9"/>
      <c r="BZ265" s="9"/>
      <c r="CA265" s="9"/>
      <c r="CB265" s="9"/>
      <c r="CC265" s="9"/>
      <c r="CD265" s="9"/>
      <c r="CE265" s="9"/>
      <c r="CH265" s="9"/>
      <c r="CI265" s="9"/>
    </row>
    <row r="266" spans="1:87">
      <c r="A266" s="13">
        <v>41091</v>
      </c>
      <c r="B266" s="12">
        <v>15533.985000000001</v>
      </c>
      <c r="C266" s="9">
        <v>0</v>
      </c>
      <c r="D266" s="24">
        <v>51996</v>
      </c>
      <c r="E266" s="12">
        <v>105.292</v>
      </c>
      <c r="F266" s="12">
        <v>110.271</v>
      </c>
      <c r="G266" s="12">
        <v>104.21599999999999</v>
      </c>
      <c r="H266" s="33">
        <v>1160.7</v>
      </c>
      <c r="I266" s="34">
        <v>16269.6</v>
      </c>
      <c r="J266" s="35">
        <v>106.193</v>
      </c>
      <c r="K266" s="35">
        <v>105.81</v>
      </c>
      <c r="L266" s="35">
        <v>99.727000000000004</v>
      </c>
      <c r="M266" s="5">
        <v>1.6586463513239273</v>
      </c>
      <c r="N266" s="5">
        <v>0.96146952142097031</v>
      </c>
      <c r="O266" s="5">
        <v>-4.2516574228867867</v>
      </c>
      <c r="P266" s="6">
        <v>0</v>
      </c>
      <c r="Q266" s="6">
        <v>1</v>
      </c>
      <c r="R266" s="6">
        <v>0</v>
      </c>
      <c r="S266" s="5"/>
      <c r="T266" s="39">
        <v>21.7</v>
      </c>
      <c r="U266">
        <v>0</v>
      </c>
      <c r="V266" s="9"/>
      <c r="X266" s="38">
        <v>75</v>
      </c>
      <c r="Y266" s="38">
        <v>85.7</v>
      </c>
      <c r="Z266" s="38">
        <v>68.099999999999994</v>
      </c>
      <c r="AA266" s="9"/>
      <c r="AB266" s="9"/>
      <c r="AC266" s="9"/>
      <c r="AD266" s="9"/>
      <c r="AE266" s="9"/>
      <c r="AF266" s="9"/>
      <c r="AG266" s="9"/>
      <c r="AH266" s="9"/>
      <c r="AI266" s="42">
        <v>0.6505995902004561</v>
      </c>
      <c r="AJ266" s="42">
        <v>0.3489197904199543</v>
      </c>
      <c r="AM266" s="9"/>
      <c r="AN266" s="9"/>
      <c r="AO266" s="9"/>
      <c r="AP266" s="9"/>
      <c r="AQ266" s="9"/>
      <c r="AR266" s="9"/>
      <c r="AS266" s="9"/>
      <c r="AU266" s="9"/>
      <c r="AV266" s="9"/>
      <c r="BW266" s="2"/>
      <c r="BY266" s="9"/>
      <c r="BZ266" s="9"/>
      <c r="CA266" s="9"/>
      <c r="CB266" s="9"/>
      <c r="CC266" s="9"/>
      <c r="CD266" s="9"/>
      <c r="CE266" s="9"/>
      <c r="CH266" s="9"/>
      <c r="CI266" s="9"/>
    </row>
    <row r="267" spans="1:87">
      <c r="A267" s="13">
        <v>41183</v>
      </c>
      <c r="B267" s="12">
        <v>15539.628000000001</v>
      </c>
      <c r="C267" s="9">
        <v>0</v>
      </c>
      <c r="D267" s="24">
        <v>52101</v>
      </c>
      <c r="E267" s="12">
        <v>105.667</v>
      </c>
      <c r="F267" s="12">
        <v>110.455</v>
      </c>
      <c r="G267" s="12">
        <v>104.845</v>
      </c>
      <c r="H267" s="33">
        <v>1196</v>
      </c>
      <c r="I267" s="34">
        <v>16522</v>
      </c>
      <c r="J267" s="35">
        <v>106.622</v>
      </c>
      <c r="K267" s="35">
        <v>105.351</v>
      </c>
      <c r="L267" s="35">
        <v>101.541</v>
      </c>
      <c r="M267" s="5">
        <v>0.81881487902660188</v>
      </c>
      <c r="N267" s="5">
        <v>0.84213588490091884</v>
      </c>
      <c r="O267" s="5"/>
      <c r="P267" s="6">
        <v>0</v>
      </c>
      <c r="Q267" s="6">
        <v>1</v>
      </c>
      <c r="R267" s="6">
        <v>0</v>
      </c>
      <c r="S267" s="5"/>
      <c r="T267" s="39">
        <v>12.7</v>
      </c>
      <c r="V267" s="9"/>
      <c r="X267" s="38">
        <v>79.400000000000006</v>
      </c>
      <c r="Y267" s="38">
        <v>88.6</v>
      </c>
      <c r="Z267" s="38">
        <v>73.5</v>
      </c>
      <c r="AA267" s="9"/>
      <c r="AB267" s="9"/>
      <c r="AC267" s="9"/>
      <c r="AD267" s="9"/>
      <c r="AE267" s="9"/>
      <c r="AF267" s="9"/>
      <c r="AG267" s="9"/>
      <c r="AH267" s="9"/>
      <c r="AI267" s="9"/>
      <c r="AM267" s="9"/>
      <c r="AN267" s="9"/>
      <c r="AO267" s="9"/>
      <c r="AP267" s="9"/>
      <c r="AQ267" s="9"/>
      <c r="AR267" s="9"/>
      <c r="AS267" s="9"/>
      <c r="AU267" s="9"/>
      <c r="AV267" s="9"/>
      <c r="BW267" s="2"/>
      <c r="BY267" s="9"/>
      <c r="BZ267" s="9"/>
      <c r="CA267" s="9"/>
      <c r="CB267" s="9"/>
      <c r="CC267" s="9"/>
      <c r="CD267" s="9"/>
      <c r="CE267" s="9"/>
      <c r="CH267" s="9"/>
      <c r="CI267" s="9"/>
    </row>
    <row r="268" spans="1:87">
      <c r="A268" s="13">
        <v>41275</v>
      </c>
      <c r="B268" s="12">
        <v>15583.948</v>
      </c>
      <c r="C268" s="9">
        <v>0</v>
      </c>
      <c r="D268" s="24">
        <v>52382</v>
      </c>
      <c r="E268" s="12">
        <v>106.105</v>
      </c>
      <c r="F268" s="12">
        <v>110.38200000000001</v>
      </c>
      <c r="G268" s="12">
        <v>105.233</v>
      </c>
      <c r="H268" s="33">
        <v>1213.8</v>
      </c>
      <c r="I268" s="34">
        <v>16690.900000000001</v>
      </c>
      <c r="J268" s="35">
        <v>106.90900000000001</v>
      </c>
      <c r="K268" s="35">
        <v>104.893</v>
      </c>
      <c r="L268" s="35">
        <v>99.82</v>
      </c>
      <c r="M268" s="5">
        <v>0.58612150193026669</v>
      </c>
      <c r="N268" s="5">
        <v>1.5154573235174824</v>
      </c>
      <c r="O268" s="5"/>
      <c r="P268" s="6">
        <v>0</v>
      </c>
      <c r="Q268" s="6">
        <v>1</v>
      </c>
      <c r="R268" s="6">
        <v>0</v>
      </c>
      <c r="S268" s="5"/>
      <c r="T268" s="39">
        <v>11.1</v>
      </c>
      <c r="V268" s="9"/>
      <c r="X268" s="38">
        <v>76.7</v>
      </c>
      <c r="Y268" s="38">
        <v>88.3</v>
      </c>
      <c r="Z268" s="38">
        <v>69.2</v>
      </c>
      <c r="AA268" s="9"/>
      <c r="AB268" s="9"/>
      <c r="AC268" s="9"/>
      <c r="AD268" s="9"/>
      <c r="AE268" s="9"/>
      <c r="AF268" s="9"/>
      <c r="AG268" s="9"/>
      <c r="AH268" s="9"/>
      <c r="AI268" s="9"/>
      <c r="AO268" s="9"/>
      <c r="AP268" s="9"/>
      <c r="AQ268" s="9"/>
      <c r="AR268" s="9"/>
      <c r="AS268" s="9"/>
      <c r="AV268" s="9"/>
      <c r="BW268" s="2"/>
      <c r="BY268" s="9"/>
      <c r="BZ268" s="9"/>
      <c r="CA268" s="9"/>
      <c r="CB268" s="9"/>
      <c r="CC268" s="9"/>
      <c r="CD268" s="9"/>
      <c r="CE268" s="9"/>
      <c r="CH268" s="9"/>
      <c r="CI268" s="9"/>
    </row>
    <row r="269" spans="1:87">
      <c r="A269" s="13">
        <v>41365</v>
      </c>
      <c r="B269" s="12">
        <v>15679.677</v>
      </c>
      <c r="C269" s="9">
        <v>0</v>
      </c>
      <c r="D269" s="24">
        <v>52690</v>
      </c>
      <c r="E269" s="12">
        <v>106.259</v>
      </c>
      <c r="F269" s="12">
        <v>111.398</v>
      </c>
      <c r="G269" s="12">
        <v>105.59699999999999</v>
      </c>
      <c r="H269" s="33">
        <v>1266.0999999999999</v>
      </c>
      <c r="I269" s="34">
        <v>16823.5</v>
      </c>
      <c r="J269" s="35">
        <v>106.878</v>
      </c>
      <c r="K269" s="35">
        <v>105.494</v>
      </c>
      <c r="L269" s="35">
        <v>100.4</v>
      </c>
      <c r="M269" s="5">
        <v>0.26706449591891496</v>
      </c>
      <c r="N269" s="5">
        <v>1.8227645966842667</v>
      </c>
      <c r="P269" s="6">
        <v>0</v>
      </c>
      <c r="Q269" s="6">
        <v>1</v>
      </c>
      <c r="R269" s="6">
        <v>0</v>
      </c>
      <c r="S269" s="5"/>
      <c r="T269" s="39">
        <v>22.2</v>
      </c>
      <c r="V269" s="9"/>
      <c r="X269" s="38">
        <v>81.7</v>
      </c>
      <c r="Y269" s="38">
        <v>93.9</v>
      </c>
      <c r="Z269" s="38">
        <v>73.8</v>
      </c>
      <c r="AA269" s="9"/>
      <c r="AB269" s="9"/>
      <c r="AC269" s="9"/>
      <c r="AD269" s="9"/>
      <c r="AE269" s="9"/>
      <c r="AF269" s="9"/>
      <c r="AG269" s="9"/>
      <c r="AH269" s="9"/>
      <c r="AI269" s="9"/>
      <c r="BW269" s="2"/>
      <c r="BY269" s="9"/>
      <c r="BZ269" s="9"/>
      <c r="CA269" s="9"/>
      <c r="CB269" s="9"/>
      <c r="CC269" s="9"/>
      <c r="CD269" s="9"/>
      <c r="CE269" s="9"/>
    </row>
    <row r="270" spans="1:87">
      <c r="A270" s="28" t="s">
        <v>3</v>
      </c>
      <c r="D270" s="24"/>
      <c r="T270" s="39">
        <v>13</v>
      </c>
      <c r="X270" s="38">
        <v>81.599999999999994</v>
      </c>
      <c r="Y270" s="38">
        <v>95.5</v>
      </c>
      <c r="Z270" s="38">
        <v>72.7</v>
      </c>
      <c r="BW270" s="2"/>
      <c r="BY270" s="9"/>
      <c r="BZ270" s="9"/>
      <c r="CA270" s="9"/>
      <c r="CB270" s="9"/>
      <c r="CC270" s="9"/>
      <c r="CD270" s="9"/>
      <c r="CE270" s="9"/>
    </row>
    <row r="271" spans="1:87">
      <c r="C271" t="s">
        <v>3</v>
      </c>
      <c r="D271" s="24"/>
    </row>
    <row r="272" spans="1:87">
      <c r="D272" s="24"/>
    </row>
    <row r="273" spans="4:4">
      <c r="D273" s="24"/>
    </row>
    <row r="274" spans="4:4">
      <c r="D274" s="24"/>
    </row>
    <row r="275" spans="4:4">
      <c r="D275" s="24"/>
    </row>
    <row r="276" spans="4:4">
      <c r="D276" s="24"/>
    </row>
    <row r="277" spans="4:4">
      <c r="D277" s="24"/>
    </row>
    <row r="278" spans="4:4">
      <c r="D278" s="24"/>
    </row>
    <row r="279" spans="4:4">
      <c r="D279" s="24"/>
    </row>
    <row r="280" spans="4:4">
      <c r="D280" s="24"/>
    </row>
    <row r="281" spans="4:4">
      <c r="D281" s="24"/>
    </row>
    <row r="282" spans="4:4">
      <c r="D282" s="24"/>
    </row>
    <row r="283" spans="4:4">
      <c r="D283" s="24"/>
    </row>
    <row r="284" spans="4:4">
      <c r="D284" s="24"/>
    </row>
    <row r="285" spans="4:4">
      <c r="D285" s="24"/>
    </row>
    <row r="286" spans="4:4">
      <c r="D286" s="24"/>
    </row>
    <row r="287" spans="4:4">
      <c r="D287" s="24"/>
    </row>
    <row r="288" spans="4:4">
      <c r="D288" s="24"/>
    </row>
    <row r="289" spans="4:4">
      <c r="D289" s="24"/>
    </row>
    <row r="290" spans="4:4">
      <c r="D290" s="24"/>
    </row>
    <row r="291" spans="4:4">
      <c r="D291" s="24"/>
    </row>
    <row r="292" spans="4:4">
      <c r="D292" s="24"/>
    </row>
    <row r="293" spans="4:4">
      <c r="D293" s="24"/>
    </row>
    <row r="294" spans="4:4">
      <c r="D294" s="24"/>
    </row>
    <row r="295" spans="4:4">
      <c r="D295" s="24"/>
    </row>
    <row r="296" spans="4:4">
      <c r="D296" s="24"/>
    </row>
    <row r="297" spans="4:4">
      <c r="D297" s="24"/>
    </row>
    <row r="298" spans="4:4">
      <c r="D298" s="24"/>
    </row>
    <row r="299" spans="4:4">
      <c r="D299" s="24"/>
    </row>
    <row r="300" spans="4:4">
      <c r="D300" s="24"/>
    </row>
    <row r="301" spans="4:4">
      <c r="D301" s="24"/>
    </row>
    <row r="302" spans="4:4">
      <c r="D302" s="24"/>
    </row>
    <row r="303" spans="4:4">
      <c r="D303" s="24"/>
    </row>
    <row r="304" spans="4:4">
      <c r="D304" s="24"/>
    </row>
    <row r="305" spans="4:4">
      <c r="D305" s="24"/>
    </row>
    <row r="306" spans="4:4">
      <c r="D306" s="24"/>
    </row>
    <row r="307" spans="4:4">
      <c r="D307" s="24"/>
    </row>
    <row r="308" spans="4:4">
      <c r="D308" s="24"/>
    </row>
    <row r="309" spans="4:4">
      <c r="D309" s="24"/>
    </row>
    <row r="310" spans="4:4">
      <c r="D310" s="24"/>
    </row>
    <row r="311" spans="4:4">
      <c r="D311" s="24"/>
    </row>
    <row r="312" spans="4:4">
      <c r="D312" s="24"/>
    </row>
    <row r="313" spans="4:4">
      <c r="D313" s="24"/>
    </row>
    <row r="314" spans="4:4">
      <c r="D314" s="24"/>
    </row>
    <row r="315" spans="4:4">
      <c r="D315" s="24"/>
    </row>
    <row r="316" spans="4:4">
      <c r="D316" s="24"/>
    </row>
    <row r="317" spans="4:4">
      <c r="D317" s="24"/>
    </row>
    <row r="318" spans="4:4">
      <c r="D318" s="24"/>
    </row>
    <row r="319" spans="4:4">
      <c r="D319" s="24"/>
    </row>
    <row r="320" spans="4:4">
      <c r="D320" s="24"/>
    </row>
    <row r="321" spans="4:4">
      <c r="D321" s="24"/>
    </row>
    <row r="322" spans="4:4">
      <c r="D322" s="24"/>
    </row>
    <row r="323" spans="4:4">
      <c r="D323" s="24"/>
    </row>
    <row r="324" spans="4:4">
      <c r="D324" s="24"/>
    </row>
    <row r="325" spans="4:4">
      <c r="D325" s="24"/>
    </row>
    <row r="326" spans="4:4">
      <c r="D326" s="24"/>
    </row>
    <row r="327" spans="4:4">
      <c r="D327" s="24"/>
    </row>
    <row r="328" spans="4:4">
      <c r="D328" s="24"/>
    </row>
    <row r="329" spans="4:4">
      <c r="D329" s="24"/>
    </row>
    <row r="330" spans="4:4">
      <c r="D330" s="24"/>
    </row>
    <row r="331" spans="4:4">
      <c r="D331" s="24"/>
    </row>
    <row r="332" spans="4:4">
      <c r="D332" s="24"/>
    </row>
    <row r="333" spans="4:4">
      <c r="D333" s="24"/>
    </row>
    <row r="334" spans="4:4">
      <c r="D334" s="24"/>
    </row>
    <row r="335" spans="4:4">
      <c r="D335" s="24"/>
    </row>
    <row r="336" spans="4:4">
      <c r="D336" s="24"/>
    </row>
    <row r="337" spans="4:4">
      <c r="D337" s="24"/>
    </row>
    <row r="338" spans="4:4">
      <c r="D338" s="24"/>
    </row>
    <row r="339" spans="4:4">
      <c r="D339" s="24"/>
    </row>
    <row r="340" spans="4:4">
      <c r="D340" s="24"/>
    </row>
    <row r="341" spans="4:4">
      <c r="D341" s="24"/>
    </row>
    <row r="342" spans="4:4">
      <c r="D342" s="24"/>
    </row>
    <row r="343" spans="4:4">
      <c r="D343" s="24"/>
    </row>
    <row r="344" spans="4:4">
      <c r="D344" s="24"/>
    </row>
    <row r="345" spans="4:4">
      <c r="D345" s="24"/>
    </row>
    <row r="346" spans="4:4">
      <c r="D346" s="24"/>
    </row>
    <row r="347" spans="4:4">
      <c r="D347" s="24"/>
    </row>
    <row r="348" spans="4:4">
      <c r="D348" s="24"/>
    </row>
    <row r="349" spans="4:4">
      <c r="D349" s="24"/>
    </row>
    <row r="350" spans="4:4">
      <c r="D350" s="24"/>
    </row>
    <row r="351" spans="4:4">
      <c r="D351" s="24"/>
    </row>
    <row r="352" spans="4:4">
      <c r="D352" s="24"/>
    </row>
    <row r="353" spans="4:4">
      <c r="D353" s="24"/>
    </row>
    <row r="354" spans="4:4">
      <c r="D354" s="24"/>
    </row>
    <row r="355" spans="4:4">
      <c r="D355" s="24"/>
    </row>
    <row r="356" spans="4:4">
      <c r="D356" s="24"/>
    </row>
    <row r="357" spans="4:4">
      <c r="D357" s="24"/>
    </row>
    <row r="358" spans="4:4">
      <c r="D358" s="24"/>
    </row>
    <row r="359" spans="4:4">
      <c r="D359" s="24"/>
    </row>
    <row r="360" spans="4:4">
      <c r="D360" s="24"/>
    </row>
    <row r="361" spans="4:4">
      <c r="D361" s="24"/>
    </row>
    <row r="362" spans="4:4">
      <c r="D362" s="24"/>
    </row>
    <row r="363" spans="4:4">
      <c r="D363" s="24"/>
    </row>
    <row r="364" spans="4:4">
      <c r="D364" s="24"/>
    </row>
    <row r="365" spans="4:4">
      <c r="D365" s="24"/>
    </row>
    <row r="366" spans="4:4">
      <c r="D366" s="24"/>
    </row>
    <row r="367" spans="4:4">
      <c r="D367" s="24"/>
    </row>
    <row r="368" spans="4:4">
      <c r="D368" s="24"/>
    </row>
    <row r="369" spans="4:4">
      <c r="D369" s="24"/>
    </row>
    <row r="370" spans="4:4">
      <c r="D370" s="24"/>
    </row>
    <row r="371" spans="4:4">
      <c r="D371" s="24"/>
    </row>
    <row r="372" spans="4:4">
      <c r="D372" s="24"/>
    </row>
    <row r="373" spans="4:4">
      <c r="D373" s="24"/>
    </row>
    <row r="374" spans="4:4">
      <c r="D374" s="24"/>
    </row>
    <row r="375" spans="4:4">
      <c r="D375" s="24"/>
    </row>
    <row r="376" spans="4:4">
      <c r="D376" s="24"/>
    </row>
    <row r="377" spans="4:4">
      <c r="D377" s="24"/>
    </row>
    <row r="378" spans="4:4">
      <c r="D378" s="24"/>
    </row>
    <row r="379" spans="4:4">
      <c r="D379" s="24"/>
    </row>
    <row r="380" spans="4:4">
      <c r="D380" s="24"/>
    </row>
    <row r="381" spans="4:4">
      <c r="D381" s="24"/>
    </row>
    <row r="382" spans="4:4">
      <c r="D382" s="24"/>
    </row>
    <row r="383" spans="4:4">
      <c r="D383" s="24"/>
    </row>
    <row r="384" spans="4:4">
      <c r="D384" s="24"/>
    </row>
    <row r="385" spans="4:4">
      <c r="D385" s="24"/>
    </row>
    <row r="386" spans="4:4">
      <c r="D386" s="24"/>
    </row>
    <row r="387" spans="4:4">
      <c r="D387" s="24"/>
    </row>
    <row r="388" spans="4:4">
      <c r="D388" s="24"/>
    </row>
    <row r="389" spans="4:4">
      <c r="D389" s="24"/>
    </row>
    <row r="390" spans="4:4">
      <c r="D390" s="24"/>
    </row>
    <row r="391" spans="4:4">
      <c r="D391" s="24"/>
    </row>
    <row r="392" spans="4:4">
      <c r="D392" s="24"/>
    </row>
    <row r="393" spans="4:4">
      <c r="D393" s="24"/>
    </row>
    <row r="394" spans="4:4">
      <c r="D394" s="24"/>
    </row>
    <row r="395" spans="4:4">
      <c r="D395" s="24"/>
    </row>
    <row r="396" spans="4:4">
      <c r="D396" s="24"/>
    </row>
    <row r="397" spans="4:4">
      <c r="D397" s="24"/>
    </row>
    <row r="398" spans="4:4">
      <c r="D398" s="24"/>
    </row>
    <row r="399" spans="4:4">
      <c r="D399" s="24"/>
    </row>
    <row r="400" spans="4:4">
      <c r="D400" s="24"/>
    </row>
    <row r="401" spans="4:4">
      <c r="D401" s="24"/>
    </row>
    <row r="402" spans="4:4">
      <c r="D402" s="24"/>
    </row>
    <row r="403" spans="4:4">
      <c r="D403" s="24"/>
    </row>
    <row r="404" spans="4:4">
      <c r="D404" s="24"/>
    </row>
    <row r="405" spans="4:4">
      <c r="D405" s="24"/>
    </row>
    <row r="406" spans="4:4">
      <c r="D406" s="24"/>
    </row>
    <row r="407" spans="4:4">
      <c r="D407" s="24"/>
    </row>
    <row r="408" spans="4:4">
      <c r="D408" s="24"/>
    </row>
    <row r="409" spans="4:4">
      <c r="D409" s="24"/>
    </row>
    <row r="410" spans="4:4">
      <c r="D410" s="24"/>
    </row>
    <row r="411" spans="4:4">
      <c r="D411" s="24"/>
    </row>
    <row r="412" spans="4:4">
      <c r="D412" s="24"/>
    </row>
    <row r="413" spans="4:4">
      <c r="D413" s="24"/>
    </row>
    <row r="414" spans="4:4">
      <c r="D414" s="24"/>
    </row>
    <row r="415" spans="4:4">
      <c r="D415" s="24"/>
    </row>
    <row r="416" spans="4:4">
      <c r="D416" s="24"/>
    </row>
    <row r="417" spans="4:4">
      <c r="D417" s="24"/>
    </row>
    <row r="418" spans="4:4">
      <c r="D418" s="24"/>
    </row>
    <row r="419" spans="4:4">
      <c r="D419" s="24"/>
    </row>
    <row r="420" spans="4:4">
      <c r="D420" s="24"/>
    </row>
    <row r="421" spans="4:4">
      <c r="D421" s="24"/>
    </row>
    <row r="422" spans="4:4">
      <c r="D422" s="24"/>
    </row>
    <row r="423" spans="4:4">
      <c r="D423" s="24"/>
    </row>
    <row r="424" spans="4:4">
      <c r="D424" s="24"/>
    </row>
    <row r="425" spans="4:4">
      <c r="D425" s="24"/>
    </row>
    <row r="426" spans="4:4">
      <c r="D426" s="24"/>
    </row>
    <row r="427" spans="4:4">
      <c r="D427" s="24"/>
    </row>
    <row r="428" spans="4:4">
      <c r="D428" s="24"/>
    </row>
    <row r="429" spans="4:4">
      <c r="D429" s="24"/>
    </row>
    <row r="430" spans="4:4">
      <c r="D430" s="24"/>
    </row>
    <row r="431" spans="4:4">
      <c r="D431" s="24"/>
    </row>
    <row r="432" spans="4:4">
      <c r="D432" s="24"/>
    </row>
    <row r="433" spans="4:4">
      <c r="D433" s="24"/>
    </row>
    <row r="434" spans="4:4">
      <c r="D434" s="24"/>
    </row>
    <row r="435" spans="4:4">
      <c r="D435" s="24"/>
    </row>
    <row r="436" spans="4:4">
      <c r="D436" s="24"/>
    </row>
    <row r="437" spans="4:4">
      <c r="D437" s="24"/>
    </row>
    <row r="438" spans="4:4">
      <c r="D438" s="24"/>
    </row>
    <row r="439" spans="4:4">
      <c r="D439" s="24"/>
    </row>
    <row r="440" spans="4:4">
      <c r="D440" s="24"/>
    </row>
    <row r="441" spans="4:4">
      <c r="D441" s="24"/>
    </row>
    <row r="442" spans="4:4">
      <c r="D442" s="24"/>
    </row>
    <row r="443" spans="4:4">
      <c r="D443" s="24"/>
    </row>
    <row r="444" spans="4:4">
      <c r="D444" s="24"/>
    </row>
    <row r="445" spans="4:4">
      <c r="D445" s="24"/>
    </row>
    <row r="446" spans="4:4">
      <c r="D446" s="24"/>
    </row>
    <row r="447" spans="4:4">
      <c r="D447" s="24"/>
    </row>
    <row r="448" spans="4:4">
      <c r="D448" s="24"/>
    </row>
    <row r="449" spans="4:4">
      <c r="D449" s="24"/>
    </row>
    <row r="450" spans="4:4">
      <c r="D450" s="24"/>
    </row>
    <row r="451" spans="4:4">
      <c r="D451" s="24"/>
    </row>
    <row r="452" spans="4:4">
      <c r="D452" s="24"/>
    </row>
    <row r="453" spans="4:4">
      <c r="D453" s="24"/>
    </row>
    <row r="454" spans="4:4">
      <c r="D454" s="24"/>
    </row>
    <row r="455" spans="4:4">
      <c r="D455" s="24"/>
    </row>
    <row r="456" spans="4:4">
      <c r="D456" s="24"/>
    </row>
    <row r="457" spans="4:4">
      <c r="D457" s="24"/>
    </row>
    <row r="458" spans="4:4">
      <c r="D458" s="24"/>
    </row>
    <row r="459" spans="4:4">
      <c r="D459" s="24"/>
    </row>
    <row r="460" spans="4:4">
      <c r="D460" s="24"/>
    </row>
    <row r="461" spans="4:4">
      <c r="D461" s="24"/>
    </row>
    <row r="462" spans="4:4">
      <c r="D462" s="24"/>
    </row>
    <row r="463" spans="4:4">
      <c r="D463" s="24"/>
    </row>
    <row r="464" spans="4:4">
      <c r="D464" s="24"/>
    </row>
    <row r="465" spans="4:4">
      <c r="D465" s="24"/>
    </row>
    <row r="466" spans="4:4">
      <c r="D466" s="24"/>
    </row>
    <row r="467" spans="4:4">
      <c r="D467" s="24"/>
    </row>
    <row r="468" spans="4:4">
      <c r="D468" s="24"/>
    </row>
    <row r="469" spans="4:4">
      <c r="D469" s="24"/>
    </row>
    <row r="470" spans="4:4">
      <c r="D470" s="24"/>
    </row>
    <row r="471" spans="4:4">
      <c r="D471" s="24"/>
    </row>
    <row r="472" spans="4:4">
      <c r="D472" s="24"/>
    </row>
    <row r="473" spans="4:4">
      <c r="D473" s="24"/>
    </row>
    <row r="474" spans="4:4">
      <c r="D474" s="24"/>
    </row>
    <row r="475" spans="4:4">
      <c r="D475" s="24"/>
    </row>
    <row r="476" spans="4:4">
      <c r="D476" s="24"/>
    </row>
    <row r="477" spans="4:4">
      <c r="D477" s="24"/>
    </row>
    <row r="478" spans="4:4">
      <c r="D478" s="24"/>
    </row>
    <row r="479" spans="4:4">
      <c r="D479" s="24"/>
    </row>
    <row r="480" spans="4:4">
      <c r="D480" s="24"/>
    </row>
    <row r="481" spans="4:4">
      <c r="D481" s="24"/>
    </row>
    <row r="482" spans="4:4">
      <c r="D482" s="24"/>
    </row>
    <row r="483" spans="4:4">
      <c r="D483" s="24"/>
    </row>
    <row r="484" spans="4:4">
      <c r="D484" s="24"/>
    </row>
    <row r="485" spans="4:4">
      <c r="D485" s="24"/>
    </row>
    <row r="486" spans="4:4">
      <c r="D486" s="24"/>
    </row>
    <row r="487" spans="4:4">
      <c r="D487" s="24"/>
    </row>
    <row r="488" spans="4:4">
      <c r="D488" s="24"/>
    </row>
    <row r="489" spans="4:4">
      <c r="D489" s="24"/>
    </row>
    <row r="490" spans="4:4">
      <c r="D490" s="24"/>
    </row>
    <row r="491" spans="4:4">
      <c r="D491" s="24"/>
    </row>
    <row r="492" spans="4:4">
      <c r="D492" s="24"/>
    </row>
    <row r="493" spans="4:4">
      <c r="D493" s="24"/>
    </row>
    <row r="494" spans="4:4">
      <c r="D494" s="24"/>
    </row>
  </sheetData>
  <phoneticPr fontId="0" type="noConversion"/>
  <pageMargins left="0.75" right="0.75" top="1" bottom="1" header="0.5" footer="0.5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Views>
    <sheetView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8.83203125" defaultRowHeight="12" x14ac:dyDescent="0"/>
  <sheetData>
    <row r="1" spans="1:2">
      <c r="A1" t="s">
        <v>4</v>
      </c>
      <c r="B1" s="4" t="s">
        <v>44</v>
      </c>
    </row>
    <row r="2" spans="1:2" s="38" customFormat="1" ht="48">
      <c r="B2" s="4" t="s">
        <v>46</v>
      </c>
    </row>
    <row r="3" spans="1:2" ht="36">
      <c r="B3" s="4" t="s">
        <v>105</v>
      </c>
    </row>
    <row r="4" spans="1:2">
      <c r="A4">
        <v>1947</v>
      </c>
    </row>
    <row r="5" spans="1:2">
      <c r="A5">
        <f>A4+1</f>
        <v>1948</v>
      </c>
      <c r="B5" s="5">
        <v>5.7621002262271253</v>
      </c>
    </row>
    <row r="6" spans="1:2">
      <c r="A6" s="9">
        <f t="shared" ref="A6:A69" si="0">A5+1</f>
        <v>1949</v>
      </c>
      <c r="B6" s="5">
        <v>2.7872756821126483</v>
      </c>
    </row>
    <row r="7" spans="1:2">
      <c r="A7" s="9">
        <f t="shared" si="0"/>
        <v>1950</v>
      </c>
      <c r="B7" s="5">
        <v>1.4145883913232336</v>
      </c>
    </row>
    <row r="8" spans="1:2">
      <c r="A8" s="9">
        <f t="shared" si="0"/>
        <v>1951</v>
      </c>
      <c r="B8" s="5">
        <v>1.9491684245968934</v>
      </c>
    </row>
    <row r="9" spans="1:2">
      <c r="A9" s="9">
        <f t="shared" si="0"/>
        <v>1952</v>
      </c>
      <c r="B9" s="5">
        <v>1.4427666445842786</v>
      </c>
    </row>
    <row r="10" spans="1:2">
      <c r="A10" s="9">
        <f t="shared" si="0"/>
        <v>1953</v>
      </c>
      <c r="B10" s="5">
        <v>4.6387259138553265</v>
      </c>
    </row>
    <row r="11" spans="1:2">
      <c r="A11" s="9">
        <f t="shared" si="0"/>
        <v>1954</v>
      </c>
      <c r="B11" s="5">
        <v>3.4996832470099881</v>
      </c>
    </row>
    <row r="12" spans="1:2">
      <c r="A12" s="9">
        <f t="shared" si="0"/>
        <v>1955</v>
      </c>
      <c r="B12" s="5">
        <v>-0.47280215457247976</v>
      </c>
    </row>
    <row r="13" spans="1:2">
      <c r="A13" s="9">
        <f t="shared" si="0"/>
        <v>1956</v>
      </c>
      <c r="B13" s="5">
        <v>2.6812010908600081E-2</v>
      </c>
    </row>
    <row r="14" spans="1:2">
      <c r="A14" s="9">
        <f t="shared" si="0"/>
        <v>1957</v>
      </c>
      <c r="B14" s="5">
        <v>3.0313036881611244</v>
      </c>
    </row>
    <row r="15" spans="1:2">
      <c r="A15" s="9">
        <f t="shared" si="0"/>
        <v>1958</v>
      </c>
      <c r="B15" s="5">
        <v>1.1887432624239191</v>
      </c>
    </row>
    <row r="16" spans="1:2">
      <c r="A16" s="9">
        <f t="shared" si="0"/>
        <v>1959</v>
      </c>
      <c r="B16" s="5">
        <v>-1.2369947284875309</v>
      </c>
    </row>
    <row r="17" spans="1:2">
      <c r="A17" s="9">
        <f t="shared" si="0"/>
        <v>1960</v>
      </c>
      <c r="B17" s="5">
        <v>4.8016616213837846</v>
      </c>
    </row>
    <row r="18" spans="1:2">
      <c r="A18" s="9">
        <f t="shared" si="0"/>
        <v>1961</v>
      </c>
      <c r="B18" s="5">
        <v>1.6872611615004918</v>
      </c>
    </row>
    <row r="19" spans="1:2">
      <c r="A19" s="9">
        <f t="shared" si="0"/>
        <v>1962</v>
      </c>
      <c r="B19" s="5">
        <v>3.1899519997742543</v>
      </c>
    </row>
    <row r="20" spans="1:2">
      <c r="A20" s="9">
        <f t="shared" si="0"/>
        <v>1963</v>
      </c>
      <c r="B20" s="5">
        <v>3.8648559486920031</v>
      </c>
    </row>
    <row r="21" spans="1:2">
      <c r="A21" s="9">
        <f t="shared" si="0"/>
        <v>1964</v>
      </c>
      <c r="B21" s="5">
        <v>1.8615577631945102</v>
      </c>
    </row>
    <row r="22" spans="1:2">
      <c r="A22" s="9">
        <f t="shared" si="0"/>
        <v>1965</v>
      </c>
      <c r="B22" s="5">
        <v>1.7494213732420771</v>
      </c>
    </row>
    <row r="23" spans="1:2">
      <c r="A23" s="9">
        <f t="shared" si="0"/>
        <v>1966</v>
      </c>
      <c r="B23" s="5">
        <v>2.587656145681855</v>
      </c>
    </row>
    <row r="24" spans="1:2">
      <c r="A24" s="9">
        <f t="shared" si="0"/>
        <v>1967</v>
      </c>
      <c r="B24" s="5">
        <v>2.2179611876172398</v>
      </c>
    </row>
    <row r="25" spans="1:2">
      <c r="A25" s="9">
        <f t="shared" si="0"/>
        <v>1968</v>
      </c>
      <c r="B25" s="5">
        <v>1.9987642996321386</v>
      </c>
    </row>
    <row r="26" spans="1:2">
      <c r="A26" s="9">
        <f t="shared" si="0"/>
        <v>1969</v>
      </c>
      <c r="B26" s="5">
        <v>-0.71085052947430505</v>
      </c>
    </row>
    <row r="27" spans="1:2">
      <c r="A27" s="9">
        <f t="shared" si="0"/>
        <v>1970</v>
      </c>
      <c r="B27" s="5">
        <v>1.6430660834396371</v>
      </c>
    </row>
    <row r="28" spans="1:2">
      <c r="A28" s="9">
        <f t="shared" si="0"/>
        <v>1971</v>
      </c>
      <c r="B28" s="5">
        <v>1.6569361549447326</v>
      </c>
    </row>
    <row r="29" spans="1:2">
      <c r="A29" s="9">
        <f t="shared" si="0"/>
        <v>1972</v>
      </c>
      <c r="B29" s="5">
        <v>1.0129670372623245</v>
      </c>
    </row>
    <row r="30" spans="1:2">
      <c r="A30" s="9">
        <f t="shared" si="0"/>
        <v>1973</v>
      </c>
      <c r="B30" s="5">
        <v>1.311067458781201</v>
      </c>
    </row>
    <row r="31" spans="1:2">
      <c r="A31" s="9">
        <f t="shared" si="0"/>
        <v>1974</v>
      </c>
      <c r="B31" s="5">
        <v>0.11785663683121506</v>
      </c>
    </row>
    <row r="32" spans="1:2">
      <c r="A32" s="9">
        <f t="shared" si="0"/>
        <v>1975</v>
      </c>
      <c r="B32" s="5">
        <v>2.6139809507129574</v>
      </c>
    </row>
    <row r="33" spans="1:2">
      <c r="A33" s="9">
        <f t="shared" si="0"/>
        <v>1976</v>
      </c>
      <c r="B33" s="5">
        <v>1.0918742181745267</v>
      </c>
    </row>
    <row r="34" spans="1:2">
      <c r="A34" s="9">
        <f t="shared" si="0"/>
        <v>1977</v>
      </c>
      <c r="B34" s="5">
        <v>1.6097790418230451</v>
      </c>
    </row>
    <row r="35" spans="1:2">
      <c r="A35" s="9">
        <f t="shared" si="0"/>
        <v>1978</v>
      </c>
      <c r="B35" s="5">
        <v>-0.57482399554600327</v>
      </c>
    </row>
    <row r="36" spans="1:2">
      <c r="A36" s="9">
        <f t="shared" si="0"/>
        <v>1979</v>
      </c>
      <c r="B36" s="5">
        <v>0.70680130512819073</v>
      </c>
    </row>
    <row r="37" spans="1:2">
      <c r="A37" s="9">
        <f t="shared" si="0"/>
        <v>1980</v>
      </c>
      <c r="B37" s="5">
        <v>-1.1487083440870238</v>
      </c>
    </row>
    <row r="38" spans="1:2">
      <c r="A38" s="9">
        <f t="shared" si="0"/>
        <v>1981</v>
      </c>
      <c r="B38" s="5">
        <v>0.14934260343644201</v>
      </c>
    </row>
    <row r="39" spans="1:2">
      <c r="A39" s="9">
        <f t="shared" si="0"/>
        <v>1982</v>
      </c>
      <c r="B39" s="5">
        <v>0.35322538776132451</v>
      </c>
    </row>
    <row r="40" spans="1:2">
      <c r="A40" s="9">
        <f t="shared" si="0"/>
        <v>1983</v>
      </c>
      <c r="B40" s="5">
        <v>-1.3920689189476421</v>
      </c>
    </row>
    <row r="41" spans="1:2">
      <c r="A41" s="9">
        <f t="shared" si="0"/>
        <v>1984</v>
      </c>
      <c r="B41" s="5">
        <v>2.1049597327877811</v>
      </c>
    </row>
    <row r="42" spans="1:2">
      <c r="A42" s="9">
        <f t="shared" si="0"/>
        <v>1985</v>
      </c>
      <c r="B42" s="5">
        <v>3.606959090541495</v>
      </c>
    </row>
    <row r="43" spans="1:2">
      <c r="A43" s="9">
        <f t="shared" si="0"/>
        <v>1986</v>
      </c>
      <c r="B43" s="5">
        <v>1.4471433733475814</v>
      </c>
    </row>
    <row r="44" spans="1:2">
      <c r="A44" s="9">
        <f t="shared" si="0"/>
        <v>1987</v>
      </c>
      <c r="B44" s="5">
        <v>-0.10381458609749483</v>
      </c>
    </row>
    <row r="45" spans="1:2">
      <c r="A45" s="9">
        <f t="shared" si="0"/>
        <v>1988</v>
      </c>
      <c r="B45" s="5">
        <v>1.1278145433657127</v>
      </c>
    </row>
    <row r="46" spans="1:2">
      <c r="A46" s="9">
        <f t="shared" si="0"/>
        <v>1989</v>
      </c>
      <c r="B46" s="5">
        <v>-0.1370601705892649</v>
      </c>
    </row>
    <row r="47" spans="1:2">
      <c r="A47" s="9">
        <f t="shared" si="0"/>
        <v>1990</v>
      </c>
      <c r="B47" s="5">
        <v>0.25484246316536119</v>
      </c>
    </row>
    <row r="48" spans="1:2">
      <c r="A48" s="9">
        <f t="shared" si="0"/>
        <v>1991</v>
      </c>
      <c r="B48" s="5">
        <v>-2.9956345949533336E-2</v>
      </c>
    </row>
    <row r="49" spans="1:2">
      <c r="A49" s="9">
        <f t="shared" si="0"/>
        <v>1992</v>
      </c>
      <c r="B49" s="5">
        <v>2.3504362182639627</v>
      </c>
    </row>
    <row r="50" spans="1:2">
      <c r="A50" s="9">
        <f t="shared" si="0"/>
        <v>1993</v>
      </c>
      <c r="B50" s="5">
        <v>-0.568159091515541</v>
      </c>
    </row>
    <row r="51" spans="1:2">
      <c r="A51" s="9">
        <f t="shared" si="0"/>
        <v>1994</v>
      </c>
      <c r="B51" s="5">
        <v>-0.39590425896395276</v>
      </c>
    </row>
    <row r="52" spans="1:2">
      <c r="A52" s="9">
        <f t="shared" si="0"/>
        <v>1995</v>
      </c>
      <c r="B52" s="5">
        <v>1.9782346913882143</v>
      </c>
    </row>
    <row r="53" spans="1:2">
      <c r="A53" s="9">
        <f t="shared" si="0"/>
        <v>1996</v>
      </c>
      <c r="B53" s="5">
        <v>2.3637823068724861</v>
      </c>
    </row>
    <row r="54" spans="1:2">
      <c r="A54" s="9">
        <f t="shared" si="0"/>
        <v>1997</v>
      </c>
      <c r="B54" s="5">
        <v>0.14826330173944857</v>
      </c>
    </row>
    <row r="55" spans="1:2">
      <c r="A55" s="9">
        <f t="shared" si="0"/>
        <v>1998</v>
      </c>
      <c r="B55" s="5">
        <v>2.3692403022128494</v>
      </c>
    </row>
    <row r="56" spans="1:2">
      <c r="A56" s="9">
        <f t="shared" si="0"/>
        <v>1999</v>
      </c>
      <c r="B56" s="5">
        <v>0.94818897605023489</v>
      </c>
    </row>
    <row r="57" spans="1:2">
      <c r="A57" s="9">
        <f t="shared" si="0"/>
        <v>2000</v>
      </c>
      <c r="B57" s="5">
        <v>1.677341368582197</v>
      </c>
    </row>
    <row r="58" spans="1:2">
      <c r="A58" s="9">
        <f t="shared" si="0"/>
        <v>2001</v>
      </c>
      <c r="B58" s="5">
        <v>1.5960748224789101</v>
      </c>
    </row>
    <row r="59" spans="1:2">
      <c r="A59" s="9">
        <f t="shared" si="0"/>
        <v>2002</v>
      </c>
      <c r="B59" s="5">
        <v>2.1430155760108649</v>
      </c>
    </row>
    <row r="60" spans="1:2">
      <c r="A60" s="9">
        <f t="shared" si="0"/>
        <v>2003</v>
      </c>
      <c r="B60" s="5">
        <v>2.6747000023277345</v>
      </c>
    </row>
    <row r="61" spans="1:2">
      <c r="A61" s="9">
        <f t="shared" si="0"/>
        <v>2004</v>
      </c>
      <c r="B61" s="5">
        <v>2.3817090841238731</v>
      </c>
    </row>
    <row r="62" spans="1:2">
      <c r="A62" s="9">
        <f t="shared" si="0"/>
        <v>2005</v>
      </c>
      <c r="B62" s="5">
        <v>1.4646194079231289</v>
      </c>
    </row>
    <row r="63" spans="1:2">
      <c r="A63" s="9">
        <f t="shared" si="0"/>
        <v>2006</v>
      </c>
      <c r="B63" s="5">
        <v>-0.54761490109047628</v>
      </c>
    </row>
    <row r="64" spans="1:2">
      <c r="A64" s="9">
        <f t="shared" si="0"/>
        <v>2007</v>
      </c>
      <c r="B64" s="5">
        <v>-1.7569969736855318</v>
      </c>
    </row>
    <row r="65" spans="1:2">
      <c r="A65" s="9">
        <f t="shared" si="0"/>
        <v>2008</v>
      </c>
      <c r="B65" s="5">
        <v>0.4030115854651739</v>
      </c>
    </row>
    <row r="66" spans="1:2">
      <c r="A66" s="9">
        <f t="shared" si="0"/>
        <v>2009</v>
      </c>
      <c r="B66" s="5">
        <v>3.3386361814572663</v>
      </c>
    </row>
    <row r="67" spans="1:2">
      <c r="A67" s="9">
        <f t="shared" si="0"/>
        <v>2010</v>
      </c>
      <c r="B67" s="5">
        <v>-1.1733745067583845</v>
      </c>
    </row>
    <row r="68" spans="1:2">
      <c r="A68" s="9">
        <f t="shared" si="0"/>
        <v>2011</v>
      </c>
      <c r="B68" s="5">
        <v>-0.21506437657832222</v>
      </c>
    </row>
    <row r="69" spans="1:2">
      <c r="A69" s="9">
        <f t="shared" si="0"/>
        <v>2012</v>
      </c>
      <c r="B69" s="5">
        <v>1.0833348585332692</v>
      </c>
    </row>
    <row r="70" spans="1:2">
      <c r="A70" s="9"/>
    </row>
    <row r="71" spans="1:2">
      <c r="A71" s="9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</vt:lpstr>
      <vt:lpstr>Quarterly</vt:lpstr>
      <vt:lpstr>Annual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W. Watson</dc:creator>
  <cp:lastModifiedBy>Princeton Affiliate</cp:lastModifiedBy>
  <dcterms:created xsi:type="dcterms:W3CDTF">2012-07-31T21:33:50Z</dcterms:created>
  <dcterms:modified xsi:type="dcterms:W3CDTF">2014-03-17T18:27:10Z</dcterms:modified>
</cp:coreProperties>
</file>